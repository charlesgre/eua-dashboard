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gvaps1\USR6\CHGE\desktop\"/>
    </mc:Choice>
  </mc:AlternateContent>
  <xr:revisionPtr revIDLastSave="0" documentId="13_ncr:1_{6A7E78F1-4E92-4048-BECF-7BE2A8EB6C11}" xr6:coauthVersionLast="47" xr6:coauthVersionMax="47" xr10:uidLastSave="{00000000-0000-0000-0000-000000000000}"/>
  <bookViews>
    <workbookView xWindow="-120" yWindow="-120" windowWidth="29040" windowHeight="15720" activeTab="1" xr2:uid="{A8B22DC3-2E15-4E6E-A8BA-B0C58ABA9AA9}"/>
  </bookViews>
  <sheets>
    <sheet name="Sheet1" sheetId="1" r:id="rId1"/>
    <sheet name="Sheet2" sheetId="2" r:id="rId2"/>
    <sheet name="Sheet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" i="2"/>
  <c r="A2" i="1" l="1"/>
  <c r="B2" i="1"/>
  <c r="C2" i="1"/>
  <c r="D2" i="1"/>
  <c r="E2" i="1"/>
  <c r="F2" i="1"/>
  <c r="G2" i="1"/>
  <c r="H2" i="1"/>
  <c r="I2" i="1"/>
  <c r="J2" i="1"/>
  <c r="A3" i="1"/>
  <c r="B3" i="1"/>
  <c r="C3" i="1"/>
  <c r="D3" i="1"/>
  <c r="E3" i="1"/>
  <c r="F3" i="1"/>
  <c r="G3" i="1"/>
  <c r="H3" i="1"/>
  <c r="I3" i="1"/>
  <c r="J3" i="1"/>
  <c r="A4" i="1"/>
  <c r="B4" i="1"/>
  <c r="C4" i="1"/>
  <c r="D4" i="1"/>
  <c r="E4" i="1"/>
  <c r="F4" i="1"/>
  <c r="G4" i="1"/>
  <c r="H4" i="1"/>
  <c r="I4" i="1"/>
  <c r="J4" i="1"/>
  <c r="A5" i="1"/>
  <c r="B5" i="1"/>
  <c r="C5" i="1"/>
  <c r="D5" i="1"/>
  <c r="E5" i="1"/>
  <c r="F5" i="1"/>
  <c r="G5" i="1"/>
  <c r="H5" i="1"/>
  <c r="I5" i="1"/>
  <c r="J5" i="1"/>
  <c r="A6" i="1"/>
  <c r="B6" i="1"/>
  <c r="C6" i="1"/>
  <c r="D6" i="1"/>
  <c r="E6" i="1"/>
  <c r="F6" i="1"/>
  <c r="G6" i="1"/>
  <c r="H6" i="1"/>
  <c r="I6" i="1"/>
  <c r="J6" i="1"/>
  <c r="A7" i="1"/>
  <c r="B7" i="1"/>
  <c r="C7" i="1"/>
  <c r="D7" i="1"/>
  <c r="E7" i="1"/>
  <c r="F7" i="1"/>
  <c r="G7" i="1"/>
  <c r="H7" i="1"/>
  <c r="I7" i="1"/>
  <c r="J7" i="1"/>
  <c r="A8" i="1"/>
  <c r="B8" i="1"/>
  <c r="C8" i="1"/>
  <c r="D8" i="1"/>
  <c r="E8" i="1"/>
  <c r="F8" i="1"/>
  <c r="G8" i="1"/>
  <c r="H8" i="1"/>
  <c r="I8" i="1"/>
  <c r="J8" i="1"/>
  <c r="A9" i="1"/>
  <c r="B9" i="1"/>
  <c r="C9" i="1"/>
  <c r="D9" i="1"/>
  <c r="E9" i="1"/>
  <c r="F9" i="1"/>
  <c r="G9" i="1"/>
  <c r="H9" i="1"/>
  <c r="I9" i="1"/>
  <c r="J9" i="1"/>
  <c r="A10" i="1"/>
  <c r="B10" i="1"/>
  <c r="C10" i="1"/>
  <c r="D10" i="1"/>
  <c r="E10" i="1"/>
  <c r="F10" i="1"/>
  <c r="G10" i="1"/>
  <c r="H10" i="1"/>
  <c r="I10" i="1"/>
  <c r="J10" i="1"/>
  <c r="A11" i="1"/>
  <c r="B11" i="1"/>
  <c r="C11" i="1"/>
  <c r="D11" i="1"/>
  <c r="E11" i="1"/>
  <c r="F11" i="1"/>
  <c r="G11" i="1"/>
  <c r="H11" i="1"/>
  <c r="I11" i="1"/>
  <c r="J11" i="1"/>
  <c r="A12" i="1"/>
  <c r="B12" i="1"/>
  <c r="C12" i="1"/>
  <c r="D12" i="1"/>
  <c r="E12" i="1"/>
  <c r="F12" i="1"/>
  <c r="G12" i="1"/>
  <c r="H12" i="1"/>
  <c r="I12" i="1"/>
  <c r="J12" i="1"/>
  <c r="A13" i="1"/>
  <c r="B13" i="1"/>
  <c r="C13" i="1"/>
  <c r="D13" i="1"/>
  <c r="E13" i="1"/>
  <c r="F13" i="1"/>
  <c r="G13" i="1"/>
  <c r="H13" i="1"/>
  <c r="I13" i="1"/>
  <c r="J13" i="1"/>
  <c r="A14" i="1"/>
  <c r="B14" i="1"/>
  <c r="C14" i="1"/>
  <c r="D14" i="1"/>
  <c r="E14" i="1"/>
  <c r="F14" i="1"/>
  <c r="G14" i="1"/>
  <c r="H14" i="1"/>
  <c r="I14" i="1"/>
  <c r="J14" i="1"/>
  <c r="A15" i="1"/>
  <c r="B15" i="1"/>
  <c r="C15" i="1"/>
  <c r="D15" i="1"/>
  <c r="E15" i="1"/>
  <c r="F15" i="1"/>
  <c r="G15" i="1"/>
  <c r="H15" i="1"/>
  <c r="I15" i="1"/>
  <c r="J15" i="1"/>
  <c r="A16" i="1"/>
  <c r="B16" i="1"/>
  <c r="C16" i="1"/>
  <c r="D16" i="1"/>
  <c r="E16" i="1"/>
  <c r="F16" i="1"/>
  <c r="G16" i="1"/>
  <c r="H16" i="1"/>
  <c r="I16" i="1"/>
  <c r="J16" i="1"/>
  <c r="A17" i="1"/>
  <c r="B17" i="1"/>
  <c r="C17" i="1"/>
  <c r="D17" i="1"/>
  <c r="E17" i="1"/>
  <c r="F17" i="1"/>
  <c r="G17" i="1"/>
  <c r="H17" i="1"/>
  <c r="I17" i="1"/>
  <c r="J17" i="1"/>
  <c r="A18" i="1"/>
  <c r="B18" i="1"/>
  <c r="C18" i="1"/>
  <c r="D18" i="1"/>
  <c r="E18" i="1"/>
  <c r="F18" i="1"/>
  <c r="G18" i="1"/>
  <c r="H18" i="1"/>
  <c r="I18" i="1"/>
  <c r="J18" i="1"/>
  <c r="A19" i="1"/>
  <c r="B19" i="1"/>
  <c r="C19" i="1"/>
  <c r="D19" i="1"/>
  <c r="E19" i="1"/>
  <c r="F19" i="1"/>
  <c r="G19" i="1"/>
  <c r="H19" i="1"/>
  <c r="I19" i="1"/>
  <c r="J19" i="1"/>
  <c r="A20" i="1"/>
  <c r="B20" i="1"/>
  <c r="C20" i="1"/>
  <c r="D20" i="1"/>
  <c r="E20" i="1"/>
  <c r="F20" i="1"/>
  <c r="G20" i="1"/>
  <c r="H20" i="1"/>
  <c r="I20" i="1"/>
  <c r="J20" i="1"/>
  <c r="A21" i="1"/>
  <c r="B21" i="1"/>
  <c r="C21" i="1"/>
  <c r="D21" i="1"/>
  <c r="E21" i="1"/>
  <c r="F21" i="1"/>
  <c r="G21" i="1"/>
  <c r="H21" i="1"/>
  <c r="I21" i="1"/>
  <c r="J21" i="1"/>
  <c r="A22" i="1"/>
  <c r="B22" i="1"/>
  <c r="C22" i="1"/>
  <c r="D22" i="1"/>
  <c r="E22" i="1"/>
  <c r="F22" i="1"/>
  <c r="G22" i="1"/>
  <c r="H22" i="1"/>
  <c r="I22" i="1"/>
  <c r="J22" i="1"/>
  <c r="A23" i="1"/>
  <c r="B23" i="1"/>
  <c r="C23" i="1"/>
  <c r="D23" i="1"/>
  <c r="E23" i="1"/>
  <c r="F23" i="1"/>
  <c r="G23" i="1"/>
  <c r="H23" i="1"/>
  <c r="I23" i="1"/>
  <c r="J23" i="1"/>
  <c r="A24" i="1"/>
  <c r="B24" i="1"/>
  <c r="C24" i="1"/>
  <c r="D24" i="1"/>
  <c r="E24" i="1"/>
  <c r="F24" i="1"/>
  <c r="G24" i="1"/>
  <c r="H24" i="1"/>
  <c r="I24" i="1"/>
  <c r="J24" i="1"/>
  <c r="A25" i="1"/>
  <c r="B25" i="1"/>
  <c r="C25" i="1"/>
  <c r="D25" i="1"/>
  <c r="E25" i="1"/>
  <c r="F25" i="1"/>
  <c r="G25" i="1"/>
  <c r="H25" i="1"/>
  <c r="I25" i="1"/>
  <c r="J25" i="1"/>
  <c r="A26" i="1"/>
  <c r="B26" i="1"/>
  <c r="C26" i="1"/>
  <c r="D26" i="1"/>
  <c r="E26" i="1"/>
  <c r="F26" i="1"/>
  <c r="G26" i="1"/>
  <c r="H26" i="1"/>
  <c r="I26" i="1"/>
  <c r="J26" i="1"/>
  <c r="A27" i="1"/>
  <c r="B27" i="1"/>
  <c r="C27" i="1"/>
  <c r="D27" i="1"/>
  <c r="E27" i="1"/>
  <c r="F27" i="1"/>
  <c r="G27" i="1"/>
  <c r="H27" i="1"/>
  <c r="I27" i="1"/>
  <c r="J27" i="1"/>
  <c r="A28" i="1"/>
  <c r="B28" i="1"/>
  <c r="C28" i="1"/>
  <c r="D28" i="1"/>
  <c r="E28" i="1"/>
  <c r="F28" i="1"/>
  <c r="G28" i="1"/>
  <c r="H28" i="1"/>
  <c r="I28" i="1"/>
  <c r="J28" i="1"/>
  <c r="A29" i="1"/>
  <c r="B29" i="1"/>
  <c r="C29" i="1"/>
  <c r="D29" i="1"/>
  <c r="E29" i="1"/>
  <c r="F29" i="1"/>
  <c r="G29" i="1"/>
  <c r="H29" i="1"/>
  <c r="I29" i="1"/>
  <c r="J29" i="1"/>
  <c r="A30" i="1"/>
  <c r="B30" i="1"/>
  <c r="C30" i="1"/>
  <c r="D30" i="1"/>
  <c r="E30" i="1"/>
  <c r="F30" i="1"/>
  <c r="G30" i="1"/>
  <c r="H30" i="1"/>
  <c r="I30" i="1"/>
  <c r="J30" i="1"/>
  <c r="A31" i="1"/>
  <c r="B31" i="1"/>
  <c r="C31" i="1"/>
  <c r="D31" i="1"/>
  <c r="E31" i="1"/>
  <c r="F31" i="1"/>
  <c r="G31" i="1"/>
  <c r="H31" i="1"/>
  <c r="I31" i="1"/>
  <c r="J31" i="1"/>
  <c r="A32" i="1"/>
  <c r="B32" i="1"/>
  <c r="C32" i="1"/>
  <c r="D32" i="1"/>
  <c r="E32" i="1"/>
  <c r="F32" i="1"/>
  <c r="G32" i="1"/>
  <c r="H32" i="1"/>
  <c r="I32" i="1"/>
  <c r="J32" i="1"/>
  <c r="A33" i="1"/>
  <c r="B33" i="1"/>
  <c r="C33" i="1"/>
  <c r="D33" i="1"/>
  <c r="E33" i="1"/>
  <c r="F33" i="1"/>
  <c r="G33" i="1"/>
  <c r="H33" i="1"/>
  <c r="I33" i="1"/>
  <c r="J33" i="1"/>
  <c r="A34" i="1"/>
  <c r="B34" i="1"/>
  <c r="C34" i="1"/>
  <c r="D34" i="1"/>
  <c r="E34" i="1"/>
  <c r="F34" i="1"/>
  <c r="G34" i="1"/>
  <c r="H34" i="1"/>
  <c r="I34" i="1"/>
  <c r="J34" i="1"/>
  <c r="A35" i="1"/>
  <c r="B35" i="1"/>
  <c r="C35" i="1"/>
  <c r="D35" i="1"/>
  <c r="E35" i="1"/>
  <c r="F35" i="1"/>
  <c r="G35" i="1"/>
  <c r="H35" i="1"/>
  <c r="I35" i="1"/>
  <c r="J35" i="1"/>
  <c r="A36" i="1"/>
  <c r="B36" i="1"/>
  <c r="C36" i="1"/>
  <c r="D36" i="1"/>
  <c r="E36" i="1"/>
  <c r="F36" i="1"/>
  <c r="G36" i="1"/>
  <c r="H36" i="1"/>
  <c r="I36" i="1"/>
  <c r="J36" i="1"/>
  <c r="A37" i="1"/>
  <c r="B37" i="1"/>
  <c r="C37" i="1"/>
  <c r="D37" i="1"/>
  <c r="E37" i="1"/>
  <c r="F37" i="1"/>
  <c r="G37" i="1"/>
  <c r="H37" i="1"/>
  <c r="I37" i="1"/>
  <c r="J37" i="1"/>
  <c r="A38" i="1"/>
  <c r="B38" i="1"/>
  <c r="C38" i="1"/>
  <c r="D38" i="1"/>
  <c r="E38" i="1"/>
  <c r="F38" i="1"/>
  <c r="G38" i="1"/>
  <c r="H38" i="1"/>
  <c r="I38" i="1"/>
  <c r="J38" i="1"/>
  <c r="A39" i="1"/>
  <c r="B39" i="1"/>
  <c r="C39" i="1"/>
  <c r="D39" i="1"/>
  <c r="E39" i="1"/>
  <c r="F39" i="1"/>
  <c r="G39" i="1"/>
  <c r="H39" i="1"/>
  <c r="I39" i="1"/>
  <c r="J39" i="1"/>
  <c r="A40" i="1"/>
  <c r="B40" i="1"/>
  <c r="C40" i="1"/>
  <c r="D40" i="1"/>
  <c r="E40" i="1"/>
  <c r="F40" i="1"/>
  <c r="G40" i="1"/>
  <c r="H40" i="1"/>
  <c r="I40" i="1"/>
  <c r="J40" i="1"/>
  <c r="A41" i="1"/>
  <c r="B41" i="1"/>
  <c r="C41" i="1"/>
  <c r="D41" i="1"/>
  <c r="E41" i="1"/>
  <c r="F41" i="1"/>
  <c r="G41" i="1"/>
  <c r="H41" i="1"/>
  <c r="I41" i="1"/>
  <c r="J41" i="1"/>
  <c r="A42" i="1"/>
  <c r="B42" i="1"/>
  <c r="C42" i="1"/>
  <c r="D42" i="1"/>
  <c r="E42" i="1"/>
  <c r="F42" i="1"/>
  <c r="G42" i="1"/>
  <c r="H42" i="1"/>
  <c r="I42" i="1"/>
  <c r="J42" i="1"/>
  <c r="A43" i="1"/>
  <c r="B43" i="1"/>
  <c r="C43" i="1"/>
  <c r="D43" i="1"/>
  <c r="E43" i="1"/>
  <c r="F43" i="1"/>
  <c r="G43" i="1"/>
  <c r="H43" i="1"/>
  <c r="I43" i="1"/>
  <c r="J43" i="1"/>
  <c r="A44" i="1"/>
  <c r="B44" i="1"/>
  <c r="C44" i="1"/>
  <c r="D44" i="1"/>
  <c r="E44" i="1"/>
  <c r="F44" i="1"/>
  <c r="G44" i="1"/>
  <c r="H44" i="1"/>
  <c r="I44" i="1"/>
  <c r="J44" i="1"/>
  <c r="A45" i="1"/>
  <c r="B45" i="1"/>
  <c r="C45" i="1"/>
  <c r="D45" i="1"/>
  <c r="E45" i="1"/>
  <c r="F45" i="1"/>
  <c r="G45" i="1"/>
  <c r="H45" i="1"/>
  <c r="I45" i="1"/>
  <c r="J45" i="1"/>
  <c r="A46" i="1"/>
  <c r="B46" i="1"/>
  <c r="C46" i="1"/>
  <c r="D46" i="1"/>
  <c r="E46" i="1"/>
  <c r="F46" i="1"/>
  <c r="G46" i="1"/>
  <c r="H46" i="1"/>
  <c r="I46" i="1"/>
  <c r="J46" i="1"/>
  <c r="A47" i="1"/>
  <c r="B47" i="1"/>
  <c r="C47" i="1"/>
  <c r="D47" i="1"/>
  <c r="E47" i="1"/>
  <c r="F47" i="1"/>
  <c r="G47" i="1"/>
  <c r="H47" i="1"/>
  <c r="I47" i="1"/>
  <c r="J47" i="1"/>
  <c r="A48" i="1"/>
  <c r="B48" i="1"/>
  <c r="C48" i="1"/>
  <c r="D48" i="1"/>
  <c r="E48" i="1"/>
  <c r="F48" i="1"/>
  <c r="G48" i="1"/>
  <c r="H48" i="1"/>
  <c r="I48" i="1"/>
  <c r="J48" i="1"/>
  <c r="A49" i="1"/>
  <c r="B49" i="1"/>
  <c r="C49" i="1"/>
  <c r="D49" i="1"/>
  <c r="E49" i="1"/>
  <c r="F49" i="1"/>
  <c r="G49" i="1"/>
  <c r="H49" i="1"/>
  <c r="I49" i="1"/>
  <c r="J49" i="1"/>
  <c r="A50" i="1"/>
  <c r="B50" i="1"/>
  <c r="C50" i="1"/>
  <c r="D50" i="1"/>
  <c r="E50" i="1"/>
  <c r="F50" i="1"/>
  <c r="G50" i="1"/>
  <c r="H50" i="1"/>
  <c r="I50" i="1"/>
  <c r="J50" i="1"/>
  <c r="A51" i="1"/>
  <c r="B51" i="1"/>
  <c r="C51" i="1"/>
  <c r="D51" i="1"/>
  <c r="E51" i="1"/>
  <c r="F51" i="1"/>
  <c r="G51" i="1"/>
  <c r="H51" i="1"/>
  <c r="I51" i="1"/>
  <c r="J51" i="1"/>
  <c r="A52" i="1"/>
  <c r="B52" i="1"/>
  <c r="C52" i="1"/>
  <c r="D52" i="1"/>
  <c r="E52" i="1"/>
  <c r="F52" i="1"/>
  <c r="G52" i="1"/>
  <c r="H52" i="1"/>
  <c r="I52" i="1"/>
  <c r="J52" i="1"/>
  <c r="A53" i="1"/>
  <c r="B53" i="1"/>
  <c r="C53" i="1"/>
  <c r="D53" i="1"/>
  <c r="E53" i="1"/>
  <c r="F53" i="1"/>
  <c r="G53" i="1"/>
  <c r="H53" i="1"/>
  <c r="I53" i="1"/>
  <c r="J53" i="1"/>
  <c r="A54" i="1"/>
  <c r="B54" i="1"/>
  <c r="C54" i="1"/>
  <c r="D54" i="1"/>
  <c r="E54" i="1"/>
  <c r="F54" i="1"/>
  <c r="G54" i="1"/>
  <c r="H54" i="1"/>
  <c r="I54" i="1"/>
  <c r="J54" i="1"/>
  <c r="A55" i="1"/>
  <c r="B55" i="1"/>
  <c r="C55" i="1"/>
  <c r="D55" i="1"/>
  <c r="E55" i="1"/>
  <c r="F55" i="1"/>
  <c r="G55" i="1"/>
  <c r="H55" i="1"/>
  <c r="I55" i="1"/>
  <c r="J55" i="1"/>
  <c r="A56" i="1"/>
  <c r="B56" i="1"/>
  <c r="C56" i="1"/>
  <c r="D56" i="1"/>
  <c r="E56" i="1"/>
  <c r="F56" i="1"/>
  <c r="G56" i="1"/>
  <c r="H56" i="1"/>
  <c r="I56" i="1"/>
  <c r="J56" i="1"/>
  <c r="A57" i="1"/>
  <c r="B57" i="1"/>
  <c r="C57" i="1"/>
  <c r="D57" i="1"/>
  <c r="E57" i="1"/>
  <c r="F57" i="1"/>
  <c r="G57" i="1"/>
  <c r="H57" i="1"/>
  <c r="I57" i="1"/>
  <c r="J57" i="1"/>
  <c r="A58" i="1"/>
  <c r="B58" i="1"/>
  <c r="C58" i="1"/>
  <c r="D58" i="1"/>
  <c r="E58" i="1"/>
  <c r="F58" i="1"/>
  <c r="G58" i="1"/>
  <c r="H58" i="1"/>
  <c r="I58" i="1"/>
  <c r="J58" i="1"/>
  <c r="A59" i="1"/>
  <c r="B59" i="1"/>
  <c r="C59" i="1"/>
  <c r="D59" i="1"/>
  <c r="E59" i="1"/>
  <c r="F59" i="1"/>
  <c r="G59" i="1"/>
  <c r="H59" i="1"/>
  <c r="I59" i="1"/>
  <c r="J59" i="1"/>
  <c r="A60" i="1"/>
  <c r="B60" i="1"/>
  <c r="C60" i="1"/>
  <c r="D60" i="1"/>
  <c r="E60" i="1"/>
  <c r="F60" i="1"/>
  <c r="G60" i="1"/>
  <c r="H60" i="1"/>
  <c r="I60" i="1"/>
  <c r="J60" i="1"/>
</calcChain>
</file>

<file path=xl/sharedStrings.xml><?xml version="1.0" encoding="utf-8"?>
<sst xmlns="http://schemas.openxmlformats.org/spreadsheetml/2006/main" count="30" uniqueCount="25">
  <si>
    <t>Symbol</t>
  </si>
  <si>
    <t>Last</t>
  </si>
  <si>
    <t>Net Change</t>
  </si>
  <si>
    <t>High</t>
  </si>
  <si>
    <t>Low</t>
  </si>
  <si>
    <t>Bid</t>
  </si>
  <si>
    <t>Ask</t>
  </si>
  <si>
    <t>Cumulative Volume</t>
  </si>
  <si>
    <t>Open Interest</t>
  </si>
  <si>
    <t>Recent Settlement</t>
  </si>
  <si>
    <t>ECF 1!-ICN</t>
  </si>
  <si>
    <t>ECF 4!-ICN</t>
  </si>
  <si>
    <t>EUA FUTURES - EUA - SEP25</t>
  </si>
  <si>
    <t>EUA FUTURES - EUA - DEC25</t>
  </si>
  <si>
    <t>ECF 5!-ICN</t>
  </si>
  <si>
    <t>EUA FUTURES - EUA - MAR26</t>
  </si>
  <si>
    <t>ECF 7!-ICN</t>
  </si>
  <si>
    <t>ECF 9!-ICN</t>
  </si>
  <si>
    <t>EUA FUTURES - EUA - AUG26</t>
  </si>
  <si>
    <t>EUA FUTURES - EUA - DEC26</t>
  </si>
  <si>
    <t>Sept 2025 contract</t>
  </si>
  <si>
    <t>Dec 2025 contract</t>
  </si>
  <si>
    <t>March 2026 contract</t>
  </si>
  <si>
    <t>August 2026 contract</t>
  </si>
  <si>
    <t>December 2026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</si>
</sst>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Font="1"/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esrtd">
      <tp t="s">
        <v/>
        <stp/>
        <stp>XICF011-PLM</stp>
        <stp>Cumulative Volume</stp>
        <tr r="H43" s="1"/>
      </tp>
      <tp t="s">
        <v/>
        <stp/>
        <stp>XICF001-PLM</stp>
        <stp>Cumulative Volume</stp>
        <tr r="H33" s="1"/>
      </tp>
      <tp t="s">
        <v/>
        <stp/>
        <stp>XICFH21-PLM</stp>
        <stp>Cumulative Volume</stp>
        <tr r="H50" s="1"/>
      </tp>
      <tp t="s">
        <v/>
        <stp/>
        <stp>XICFZ21-PLM</stp>
        <stp>Cumulative Volume</stp>
        <tr r="H60" s="1"/>
      </tp>
      <tp t="s">
        <v/>
        <stp/>
        <stp>ECF 2!:ECF3!-ICN</stp>
        <stp>Change</stp>
        <tr r="C18" s="1"/>
      </tp>
      <tp t="s">
        <v/>
        <stp/>
        <stp>ECF 14!-ICN</stp>
        <stp>Low</stp>
        <tr r="E15" s="1"/>
      </tp>
      <tp t="s">
        <v/>
        <stp/>
        <stp>ECF 15!-ICN</stp>
        <stp>Low</stp>
        <tr r="E16" s="1"/>
      </tp>
      <tp>
        <v>74.48</v>
        <stp/>
        <stp>ECF 12!-ICN</stp>
        <stp>Low</stp>
        <tr r="E13" s="1"/>
      </tp>
      <tp>
        <v>74.87</v>
        <stp/>
        <stp>ECF 13!-ICN</stp>
        <stp>Low</stp>
        <tr r="E14" s="1"/>
      </tp>
      <tp>
        <v>73.400000000000006</v>
        <stp/>
        <stp>ECF 10!-ICN</stp>
        <stp>Low</stp>
        <tr r="E11" s="1"/>
      </tp>
      <tp t="s">
        <v/>
        <stp/>
        <stp>ECF 11!-ICN</stp>
        <stp>Low</stp>
        <tr r="E12" s="1"/>
      </tp>
      <tp t="s">
        <v/>
        <stp/>
        <stp>XICF010-PLM</stp>
        <stp>Cumulative Volume</stp>
        <tr r="H42" s="1"/>
      </tp>
      <tp t="s">
        <v/>
        <stp/>
        <stp>XICF000-PLM</stp>
        <stp>Cumulative Volume</stp>
        <tr r="H32" s="1"/>
      </tp>
      <tp t="s">
        <v/>
        <stp/>
        <stp>XICFH20-PLM</stp>
        <stp>Cumulative Volume</stp>
        <tr r="H49" s="1"/>
      </tp>
      <tp t="s">
        <v/>
        <stp/>
        <stp>XICFM20-PLM</stp>
        <stp>Cumulative Volume</stp>
        <tr r="H53" s="1"/>
      </tp>
      <tp t="s">
        <v/>
        <stp/>
        <stp>XICFZ20-PLM</stp>
        <stp>Cumulative Volume</stp>
        <tr r="H59" s="1"/>
      </tp>
      <tp t="s">
        <v/>
        <stp/>
        <stp>XICFU20-PLM</stp>
        <stp>Cumulative Volume</stp>
        <tr r="H56" s="1"/>
      </tp>
      <tp t="s">
        <v/>
        <stp/>
        <stp>ECF 3!:ECF5!-ICN</stp>
        <stp>Change</stp>
        <tr r="C19" s="1"/>
      </tp>
      <tp t="s">
        <v/>
        <stp/>
        <stp>XICF013-PLM</stp>
        <stp>Cumulative Volume</stp>
        <tr r="H45" s="1"/>
      </tp>
      <tp t="s">
        <v/>
        <stp/>
        <stp>XICF003-PLM</stp>
        <stp>Cumulative Volume</stp>
        <tr r="H35" s="1"/>
      </tp>
      <tp t="s">
        <v/>
        <stp/>
        <stp>XICF012-PLM</stp>
        <stp>Cumulative Volume</stp>
        <tr r="H44" s="1"/>
      </tp>
      <tp t="s">
        <v/>
        <stp/>
        <stp>XICF002-PLM</stp>
        <stp>Cumulative Volume</stp>
        <tr r="H34" s="1"/>
      </tp>
      <tp t="s">
        <v/>
        <stp/>
        <stp>ECF 1!:ECF2!-ICN</stp>
        <stp>Change</stp>
        <tr r="C17" s="1"/>
      </tp>
      <tp t="s">
        <v/>
        <stp/>
        <stp>XICF005-PLM</stp>
        <stp>Cumulative Volume</stp>
        <tr r="H37" s="1"/>
      </tp>
      <tp t="s">
        <v/>
        <stp/>
        <stp>ECF 6!:ECF7!-ICN</stp>
        <stp>Change</stp>
        <tr r="C22" s="1"/>
      </tp>
      <tp t="s">
        <v/>
        <stp/>
        <stp>XICF004-PLM</stp>
        <stp>Cumulative Volume</stp>
        <tr r="H36" s="1"/>
      </tp>
      <tp t="s">
        <v/>
        <stp/>
        <stp>ECF 7!:ECF8!-ICN</stp>
        <stp>Change</stp>
        <tr r="C23" s="1"/>
      </tp>
      <tp t="s">
        <v/>
        <stp/>
        <stp>XICF012-PLM</stp>
        <stp>Low</stp>
        <tr r="E44" s="1"/>
      </tp>
      <tp t="s">
        <v/>
        <stp/>
        <stp>XICF013-PLM</stp>
        <stp>Low</stp>
        <tr r="E45" s="1"/>
      </tp>
      <tp t="s">
        <v/>
        <stp/>
        <stp>XICF010-PLM</stp>
        <stp>Low</stp>
        <tr r="E42" s="1"/>
      </tp>
      <tp t="s">
        <v/>
        <stp/>
        <stp>XICF011-PLM</stp>
        <stp>Low</stp>
        <tr r="E43" s="1"/>
      </tp>
      <tp t="s">
        <v/>
        <stp/>
        <stp>XICF016-PLM</stp>
        <stp>Low</stp>
        <tr r="E46" s="1"/>
      </tp>
      <tp t="s">
        <v/>
        <stp/>
        <stp>XICF008-PLM</stp>
        <stp>Low</stp>
        <tr r="E40" s="1"/>
      </tp>
      <tp t="s">
        <v/>
        <stp/>
        <stp>XICF009-PLM</stp>
        <stp>Low</stp>
        <tr r="E41" s="1"/>
      </tp>
      <tp t="s">
        <v/>
        <stp/>
        <stp>XICF002-PLM</stp>
        <stp>Low</stp>
        <tr r="E34" s="1"/>
      </tp>
      <tp t="s">
        <v/>
        <stp/>
        <stp>XICF003-PLM</stp>
        <stp>Low</stp>
        <tr r="E35" s="1"/>
      </tp>
      <tp t="s">
        <v/>
        <stp/>
        <stp>XICF000-PLM</stp>
        <stp>Low</stp>
        <tr r="E32" s="1"/>
      </tp>
      <tp t="s">
        <v/>
        <stp/>
        <stp>XICF001-PLM</stp>
        <stp>Low</stp>
        <tr r="E33" s="1"/>
      </tp>
      <tp t="s">
        <v/>
        <stp/>
        <stp>XICF006-PLM</stp>
        <stp>Low</stp>
        <tr r="E38" s="1"/>
      </tp>
      <tp t="s">
        <v/>
        <stp/>
        <stp>XICF007-PLM</stp>
        <stp>Low</stp>
        <tr r="E39" s="1"/>
      </tp>
      <tp t="s">
        <v/>
        <stp/>
        <stp>XICF004-PLM</stp>
        <stp>Low</stp>
        <tr r="E36" s="1"/>
      </tp>
      <tp t="s">
        <v/>
        <stp/>
        <stp>XICF005-PLM</stp>
        <stp>Low</stp>
        <tr r="E37" s="1"/>
      </tp>
      <tp t="s">
        <v/>
        <stp/>
        <stp>ECF 8!:ECF9!-ICN</stp>
        <stp>Open Interest</stp>
        <tr r="I24" s="1"/>
      </tp>
      <tp t="s">
        <v/>
        <stp/>
        <stp>ECF 6!:ECF7!-ICN</stp>
        <stp>Open Interest</stp>
        <tr r="I22" s="1"/>
      </tp>
      <tp t="s">
        <v/>
        <stp/>
        <stp>ECF 7!:ECF8!-ICN</stp>
        <stp>Open Interest</stp>
        <tr r="I23" s="1"/>
      </tp>
      <tp t="s">
        <v/>
        <stp/>
        <stp>ECF 4!:ECF5!-ICN</stp>
        <stp>Open Interest</stp>
        <tr r="I20" s="1"/>
      </tp>
      <tp t="s">
        <v/>
        <stp/>
        <stp>ECF 5!:ECF6!-ICN</stp>
        <stp>Open Interest</stp>
        <tr r="I21" s="1"/>
      </tp>
      <tp t="s">
        <v/>
        <stp/>
        <stp>ECF 2!:ECF3!-ICN</stp>
        <stp>Open Interest</stp>
        <tr r="I18" s="1"/>
      </tp>
      <tp t="s">
        <v/>
        <stp/>
        <stp>ECF 3!:ECF5!-ICN</stp>
        <stp>Open Interest</stp>
        <tr r="I19" s="1"/>
      </tp>
      <tp t="s">
        <v/>
        <stp/>
        <stp>ECF 1!:ECF2!-ICN</stp>
        <stp>Open Interest</stp>
        <tr r="I17" s="1"/>
      </tp>
      <tp t="s">
        <v/>
        <stp/>
        <stp>XICF007-PLM</stp>
        <stp>Cumulative Volume</stp>
        <tr r="H39" s="1"/>
      </tp>
      <tp>
        <v>0</v>
        <stp/>
        <stp>ECF 4!:ECF5!-ICN</stp>
        <stp>Change</stp>
        <tr r="C20" s="1"/>
      </tp>
      <tp t="s">
        <v>ECF 26U:ECF26Z-ICN</v>
        <stp/>
        <stp>ECF 8!:ECF9!-ICN</stp>
        <stp>Symbol</stp>
        <tr r="A24" s="1"/>
      </tp>
      <tp t="s">
        <v/>
        <stp/>
        <stp>XICF016-PLM</stp>
        <stp>Cumulative Volume</stp>
        <tr r="H46" s="1"/>
      </tp>
      <tp t="s">
        <v/>
        <stp/>
        <stp>XICF006-PLM</stp>
        <stp>Cumulative Volume</stp>
        <tr r="H38" s="1"/>
      </tp>
      <tp t="s">
        <v/>
        <stp/>
        <stp>ECF 5!:ECF6!-ICN</stp>
        <stp>Change</stp>
        <tr r="C21" s="1"/>
      </tp>
      <tp t="s">
        <v/>
        <stp/>
        <stp>XICF009-PLM</stp>
        <stp>Cumulative Volume</stp>
        <tr r="H41" s="1"/>
      </tp>
      <tp t="s">
        <v/>
        <stp/>
        <stp>XICFH19-PLM</stp>
        <stp>Cumulative Volume</stp>
        <tr r="H48" s="1"/>
      </tp>
      <tp t="s">
        <v/>
        <stp/>
        <stp>XICFM19-PLM</stp>
        <stp>Cumulative Volume</stp>
        <tr r="H52" s="1"/>
      </tp>
      <tp t="s">
        <v/>
        <stp/>
        <stp>XICFZ19-PLM</stp>
        <stp>Cumulative Volume</stp>
        <tr r="H58" s="1"/>
      </tp>
      <tp t="s">
        <v/>
        <stp/>
        <stp>XICFU19-PLM</stp>
        <stp>Cumulative Volume</stp>
        <tr r="H55" s="1"/>
      </tp>
      <tp t="s">
        <v/>
        <stp/>
        <stp>ECFZ 1!-ICN</stp>
        <stp>Recent Settlement</stp>
        <tr r="J30" s="1"/>
      </tp>
      <tp t="s">
        <v/>
        <stp/>
        <stp>ECFZ 2!-ICN</stp>
        <stp>Recent Settlement</stp>
        <tr r="J31" s="1"/>
      </tp>
      <tp t="s">
        <v/>
        <stp/>
        <stp>XICF016-PLM</stp>
        <stp>Ask</stp>
        <tr r="G46" s="1"/>
      </tp>
      <tp t="s">
        <v/>
        <stp/>
        <stp>XICF012-PLM</stp>
        <stp>Ask</stp>
        <tr r="G44" s="1"/>
      </tp>
      <tp t="s">
        <v/>
        <stp/>
        <stp>XICF013-PLM</stp>
        <stp>Ask</stp>
        <tr r="G45" s="1"/>
      </tp>
      <tp t="s">
        <v/>
        <stp/>
        <stp>XICF010-PLM</stp>
        <stp>Ask</stp>
        <tr r="G42" s="1"/>
      </tp>
      <tp t="s">
        <v/>
        <stp/>
        <stp>XICF011-PLM</stp>
        <stp>Ask</stp>
        <tr r="G43" s="1"/>
      </tp>
      <tp t="s">
        <v/>
        <stp/>
        <stp>XICF006-PLM</stp>
        <stp>Ask</stp>
        <tr r="G38" s="1"/>
      </tp>
      <tp t="s">
        <v/>
        <stp/>
        <stp>XICF007-PLM</stp>
        <stp>Ask</stp>
        <tr r="G39" s="1"/>
      </tp>
      <tp t="s">
        <v/>
        <stp/>
        <stp>XICF004-PLM</stp>
        <stp>Ask</stp>
        <tr r="G36" s="1"/>
      </tp>
      <tp t="s">
        <v/>
        <stp/>
        <stp>XICF005-PLM</stp>
        <stp>Ask</stp>
        <tr r="G37" s="1"/>
      </tp>
      <tp t="s">
        <v/>
        <stp/>
        <stp>XICF002-PLM</stp>
        <stp>Ask</stp>
        <tr r="G34" s="1"/>
      </tp>
      <tp t="s">
        <v/>
        <stp/>
        <stp>XICF003-PLM</stp>
        <stp>Ask</stp>
        <tr r="G35" s="1"/>
      </tp>
      <tp t="s">
        <v/>
        <stp/>
        <stp>XICF000-PLM</stp>
        <stp>Ask</stp>
        <tr r="G32" s="1"/>
      </tp>
      <tp t="s">
        <v/>
        <stp/>
        <stp>XICF001-PLM</stp>
        <stp>Ask</stp>
        <tr r="G33" s="1"/>
      </tp>
      <tp t="s">
        <v/>
        <stp/>
        <stp>XICF008-PLM</stp>
        <stp>Ask</stp>
        <tr r="G40" s="1"/>
      </tp>
      <tp t="s">
        <v/>
        <stp/>
        <stp>XICF009-PLM</stp>
        <stp>Ask</stp>
        <tr r="G41" s="1"/>
      </tp>
      <tp t="s">
        <v>ECF 26M:ECF26Q-ICN</v>
        <stp/>
        <stp>ECF 6!:ECF7!-ICN</stp>
        <stp>Symbol</stp>
        <tr r="A22" s="1"/>
      </tp>
      <tp>
        <v>74.150000000000006</v>
        <stp/>
        <stp>ECF 11!-ICN</stp>
        <stp>Recent Settlement</stp>
        <tr r="J12" s="1"/>
      </tp>
      <tp>
        <v>73.599999999999994</v>
        <stp/>
        <stp>ECF 10!-ICN</stp>
        <stp>Recent Settlement</stp>
        <tr r="J11" s="1"/>
      </tp>
      <tp>
        <v>75.31</v>
        <stp/>
        <stp>ECF 13!-ICN</stp>
        <stp>Recent Settlement</stp>
        <tr r="J14" s="1"/>
      </tp>
      <tp>
        <v>74.58</v>
        <stp/>
        <stp>ECF 12!-ICN</stp>
        <stp>Recent Settlement</stp>
        <tr r="J13" s="1"/>
      </tp>
      <tp>
        <v>76.66</v>
        <stp/>
        <stp>ECF 15!-ICN</stp>
        <stp>Recent Settlement</stp>
        <tr r="J16" s="1"/>
      </tp>
      <tp>
        <v>75.959999999999994</v>
        <stp/>
        <stp>ECF 14!-ICN</stp>
        <stp>Recent Settlement</stp>
        <tr r="J15" s="1"/>
      </tp>
      <tp t="s">
        <v/>
        <stp/>
        <stp>ECF 14!:ECF15!-ICN</stp>
        <stp>Recent Settlement</stp>
        <tr r="J29" s="1"/>
      </tp>
      <tp t="s">
        <v/>
        <stp/>
        <stp>XICF008-PLM</stp>
        <stp>Cumulative Volume</stp>
        <tr r="H40" s="1"/>
      </tp>
      <tp t="s">
        <v/>
        <stp/>
        <stp>XICFH18-PLM</stp>
        <stp>Cumulative Volume</stp>
        <tr r="H47" s="1"/>
      </tp>
      <tp t="s">
        <v/>
        <stp/>
        <stp>XICFM18-PLM</stp>
        <stp>Cumulative Volume</stp>
        <tr r="H51" s="1"/>
      </tp>
      <tp t="s">
        <v/>
        <stp/>
        <stp>XICFZ18-PLM</stp>
        <stp>Cumulative Volume</stp>
        <tr r="H57" s="1"/>
      </tp>
      <tp t="s">
        <v/>
        <stp/>
        <stp>XICFU18-PLM</stp>
        <stp>Cumulative Volume</stp>
        <tr r="H54" s="1"/>
      </tp>
      <tp t="s">
        <v>ECF 26Q:ECF26U-ICN</v>
        <stp/>
        <stp>ECF 7!:ECF8!-ICN</stp>
        <stp>Symbol</stp>
        <tr r="A23" s="1"/>
      </tp>
      <tp t="s">
        <v/>
        <stp/>
        <stp>ECF 8!:ECF9!-ICN</stp>
        <stp>Change</stp>
        <tr r="C24" s="1"/>
      </tp>
      <tp t="s">
        <v>ECF 25Z:ECF26H-ICN</v>
        <stp/>
        <stp>ECF 4!:ECF5!-ICN</stp>
        <stp>Symbol</stp>
        <tr r="A20" s="1"/>
      </tp>
      <tp t="s">
        <v>ECF 26H:ECF26M-ICN</v>
        <stp/>
        <stp>ECF 5!:ECF6!-ICN</stp>
        <stp>Symbol</stp>
        <tr r="A21" s="1"/>
      </tp>
      <tp t="s">
        <v/>
        <stp/>
        <stp>XICF011-PLM</stp>
        <stp>Bid</stp>
        <tr r="F43" s="1"/>
      </tp>
      <tp t="s">
        <v/>
        <stp/>
        <stp>XICF010-PLM</stp>
        <stp>Bid</stp>
        <tr r="F42" s="1"/>
      </tp>
      <tp t="s">
        <v/>
        <stp/>
        <stp>XICF013-PLM</stp>
        <stp>Bid</stp>
        <tr r="F45" s="1"/>
      </tp>
      <tp t="s">
        <v/>
        <stp/>
        <stp>XICF012-PLM</stp>
        <stp>Bid</stp>
        <tr r="F44" s="1"/>
      </tp>
      <tp t="s">
        <v/>
        <stp/>
        <stp>XICF016-PLM</stp>
        <stp>Bid</stp>
        <tr r="F46" s="1"/>
      </tp>
      <tp t="s">
        <v/>
        <stp/>
        <stp>XICF009-PLM</stp>
        <stp>Bid</stp>
        <tr r="F41" s="1"/>
      </tp>
      <tp t="s">
        <v/>
        <stp/>
        <stp>XICF008-PLM</stp>
        <stp>Bid</stp>
        <tr r="F40" s="1"/>
      </tp>
      <tp t="s">
        <v/>
        <stp/>
        <stp>XICF001-PLM</stp>
        <stp>Bid</stp>
        <tr r="F33" s="1"/>
      </tp>
      <tp t="s">
        <v/>
        <stp/>
        <stp>XICF000-PLM</stp>
        <stp>Bid</stp>
        <tr r="F32" s="1"/>
      </tp>
      <tp t="s">
        <v/>
        <stp/>
        <stp>XICF003-PLM</stp>
        <stp>Bid</stp>
        <tr r="F35" s="1"/>
      </tp>
      <tp t="s">
        <v/>
        <stp/>
        <stp>XICF002-PLM</stp>
        <stp>Bid</stp>
        <tr r="F34" s="1"/>
      </tp>
      <tp t="s">
        <v/>
        <stp/>
        <stp>XICF005-PLM</stp>
        <stp>Bid</stp>
        <tr r="F37" s="1"/>
      </tp>
      <tp t="s">
        <v/>
        <stp/>
        <stp>XICF004-PLM</stp>
        <stp>Bid</stp>
        <tr r="F36" s="1"/>
      </tp>
      <tp t="s">
        <v/>
        <stp/>
        <stp>XICF007-PLM</stp>
        <stp>Bid</stp>
        <tr r="F39" s="1"/>
      </tp>
      <tp t="s">
        <v/>
        <stp/>
        <stp>XICF006-PLM</stp>
        <stp>Bid</stp>
        <tr r="F38" s="1"/>
      </tp>
      <tp t="s">
        <v>ECF 25V:ECF25X-ICN</v>
        <stp/>
        <stp>ECF 2!:ECF3!-ICN</stp>
        <stp>Symbol</stp>
        <tr r="A18" s="1"/>
      </tp>
      <tp>
        <v>74.540000000000006</v>
        <stp/>
        <stp>ECF 12!-ICN</stp>
        <stp>Ask</stp>
        <tr r="G13" s="1"/>
      </tp>
      <tp>
        <v>75.23</v>
        <stp/>
        <stp>ECF 13!-ICN</stp>
        <stp>Ask</stp>
        <tr r="G14" s="1"/>
      </tp>
      <tp>
        <v>73.540000000000006</v>
        <stp/>
        <stp>ECF 10!-ICN</stp>
        <stp>Ask</stp>
        <tr r="G11" s="1"/>
      </tp>
      <tp t="s">
        <v/>
        <stp/>
        <stp>ECF 11!-ICN</stp>
        <stp>Ask</stp>
        <tr r="G12" s="1"/>
      </tp>
      <tp>
        <v>75.98</v>
        <stp/>
        <stp>ECF 14!-ICN</stp>
        <stp>Ask</stp>
        <tr r="G15" s="1"/>
      </tp>
      <tp t="s">
        <v/>
        <stp/>
        <stp>ECF 15!-ICN</stp>
        <stp>Ask</stp>
        <tr r="G16" s="1"/>
      </tp>
      <tp t="s">
        <v>ECF 3!:ECF5!-ICN</v>
        <stp/>
        <stp>ECF 3!:ECF5!-ICN</stp>
        <stp>Symbol</stp>
        <tr r="A19" s="1"/>
      </tp>
      <tp>
        <v>-0.43</v>
        <stp/>
        <stp>ECF 11!:ECF12!-ICN</stp>
        <stp>Recent Settlement</stp>
        <tr r="J26" s="1"/>
      </tp>
      <tp>
        <v>73.47</v>
        <stp/>
        <stp>ECF 10!-ICN</stp>
        <stp>Bid</stp>
        <tr r="F11" s="1"/>
      </tp>
      <tp t="s">
        <v/>
        <stp/>
        <stp>ECF 11!-ICN</stp>
        <stp>Bid</stp>
        <tr r="F12" s="1"/>
      </tp>
      <tp>
        <v>74.42</v>
        <stp/>
        <stp>ECF 12!-ICN</stp>
        <stp>Bid</stp>
        <tr r="F13" s="1"/>
      </tp>
      <tp>
        <v>-0.73</v>
        <stp/>
        <stp>ECF 12!:ECF13!-ICN</stp>
        <stp>Recent Settlement</stp>
        <tr r="J27" s="1"/>
      </tp>
      <tp>
        <v>75.19</v>
        <stp/>
        <stp>ECF 13!-ICN</stp>
        <stp>Bid</stp>
        <tr r="F14" s="1"/>
      </tp>
      <tp>
        <v>75.75</v>
        <stp/>
        <stp>ECF 14!-ICN</stp>
        <stp>Bid</stp>
        <tr r="F15" s="1"/>
      </tp>
      <tp t="s">
        <v/>
        <stp/>
        <stp>ECF 15!-ICN</stp>
        <stp>Bid</stp>
        <tr r="F16" s="1"/>
      </tp>
      <tp t="s">
        <v>ECF 25U:ECF25V-ICN</v>
        <stp/>
        <stp>ECF 1!:ECF2!-ICN</stp>
        <stp>Symbol</stp>
        <tr r="A17" s="1"/>
      </tp>
      <tp>
        <v>-0.65</v>
        <stp/>
        <stp>ECF 13!:ECF14!-ICN</stp>
        <stp>Recent Settlement</stp>
        <tr r="J28" s="1"/>
      </tp>
      <tp>
        <v>-0.51</v>
        <stp/>
        <stp>ECF 4!:ECF5!-ICN</stp>
        <stp>High</stp>
        <tr r="D20" s="1"/>
      </tp>
      <tp t="s">
        <v/>
        <stp/>
        <stp>ECF 3!:ECF5!-ICN</stp>
        <stp>High</stp>
        <tr r="D19" s="1"/>
      </tp>
      <tp>
        <v>2</v>
        <stp/>
        <stp>ECF 12!:ECF13!-ICN</stp>
        <stp>Cumulative Volume</stp>
        <tr r="H27" s="1"/>
      </tp>
      <tp t="s">
        <v>ECF 28H-ICN</v>
        <stp/>
        <stp>ECF 14!-ICN</stp>
        <stp>Symbol</stp>
        <tr r="A15" s="1"/>
      </tp>
      <tp t="s">
        <v>ECF 28Q-ICN</v>
        <stp/>
        <stp>ECF 15!-ICN</stp>
        <stp>Symbol</stp>
        <tr r="A16" s="1"/>
      </tp>
      <tp t="s">
        <v>ECF 27H-ICN</v>
        <stp/>
        <stp>ECF 10!-ICN</stp>
        <stp>Symbol</stp>
        <tr r="A11" s="1"/>
      </tp>
      <tp t="s">
        <v>ECF 27M-ICN</v>
        <stp/>
        <stp>ECF 11!-ICN</stp>
        <stp>Symbol</stp>
        <tr r="A12" s="1"/>
      </tp>
      <tp t="s">
        <v>ECF 27Q-ICN</v>
        <stp/>
        <stp>ECF 12!-ICN</stp>
        <stp>Symbol</stp>
        <tr r="A13" s="1"/>
      </tp>
      <tp t="s">
        <v>ECF 27Z-ICN</v>
        <stp/>
        <stp>ECF 13!-ICN</stp>
        <stp>Symbol</stp>
        <tr r="A14" s="1"/>
      </tp>
      <tp>
        <v>0</v>
        <stp/>
        <stp>ECF 13!:ECF14!-ICN</stp>
        <stp>Cumulative Volume</stp>
        <tr r="H28" s="1"/>
      </tp>
      <tp t="s">
        <v/>
        <stp/>
        <stp>ECFZ 2!-ICN</stp>
        <stp>Low</stp>
        <tr r="E31" s="1"/>
      </tp>
      <tp>
        <v>0</v>
        <stp/>
        <stp>ECFZ 1!-ICN</stp>
        <stp>Low</stp>
        <tr r="E30" s="1"/>
      </tp>
      <tp t="s">
        <v/>
        <stp/>
        <stp>ECF 6!:ECF7!-ICN</stp>
        <stp>High</stp>
        <tr r="D22" s="1"/>
      </tp>
      <tp t="s">
        <v/>
        <stp/>
        <stp>ECF 5!:ECF6!-ICN</stp>
        <stp>High</stp>
        <tr r="D21" s="1"/>
      </tp>
      <tp>
        <v>0</v>
        <stp/>
        <stp>ECF 11!:ECF12!-ICN</stp>
        <stp>Cumulative Volume</stp>
        <tr r="H26" s="1"/>
      </tp>
      <tp t="s">
        <v/>
        <stp/>
        <stp>ECF 8!:ECF9!-ICN</stp>
        <stp>Last</stp>
        <tr r="B24" s="1"/>
      </tp>
      <tp>
        <v>-0.54</v>
        <stp/>
        <stp>ECF 9!:ECF10!-ICN</stp>
        <stp>Last</stp>
        <tr r="B25" s="1"/>
      </tp>
      <tp t="s">
        <v/>
        <stp/>
        <stp>ECF 7!:ECF8!-ICN</stp>
        <stp>Last</stp>
        <tr r="B23" s="1"/>
      </tp>
      <tp t="s">
        <v/>
        <stp/>
        <stp>ECF 2!:ECF3!-ICN</stp>
        <stp>High</stp>
        <tr r="D18" s="1"/>
      </tp>
      <tp t="s">
        <v/>
        <stp/>
        <stp>XICF009-PLM</stp>
        <stp>Recent Settlement</stp>
        <tr r="J41" s="1"/>
      </tp>
      <tp t="s">
        <v/>
        <stp/>
        <stp>XICFU19-PLM</stp>
        <stp>Recent Settlement</stp>
        <tr r="J55" s="1"/>
      </tp>
      <tp t="s">
        <v/>
        <stp/>
        <stp>XICFZ19-PLM</stp>
        <stp>Recent Settlement</stp>
        <tr r="J58" s="1"/>
      </tp>
      <tp t="s">
        <v/>
        <stp/>
        <stp>XICFH19-PLM</stp>
        <stp>Recent Settlement</stp>
        <tr r="J48" s="1"/>
      </tp>
      <tp t="s">
        <v/>
        <stp/>
        <stp>XICFM19-PLM</stp>
        <stp>Recent Settlement</stp>
        <tr r="J52" s="1"/>
      </tp>
      <tp>
        <v>102</v>
        <stp/>
        <stp>ECFZ 1!-ICN</stp>
        <stp>Cumulative Volume</stp>
        <tr r="H30" s="1"/>
      </tp>
      <tp>
        <v>0</v>
        <stp/>
        <stp>ECFZ 2!-ICN</stp>
        <stp>Cumulative Volume</stp>
        <tr r="H31" s="1"/>
      </tp>
      <tp>
        <v>0</v>
        <stp/>
        <stp>ECF 14!-ICN</stp>
        <stp>Cumulative Volume</stp>
        <tr r="H15" s="1"/>
      </tp>
      <tp>
        <v>0</v>
        <stp/>
        <stp>ECF 15!-ICN</stp>
        <stp>Cumulative Volume</stp>
        <tr r="H16" s="1"/>
      </tp>
      <tp>
        <v>25</v>
        <stp/>
        <stp>ECF 10!-ICN</stp>
        <stp>Cumulative Volume</stp>
        <tr r="H11" s="1"/>
      </tp>
      <tp>
        <v>0</v>
        <stp/>
        <stp>ECF 11!-ICN</stp>
        <stp>Cumulative Volume</stp>
        <tr r="H12" s="1"/>
      </tp>
      <tp>
        <v>2</v>
        <stp/>
        <stp>ECF 12!-ICN</stp>
        <stp>Cumulative Volume</stp>
        <tr r="H13" s="1"/>
      </tp>
      <tp>
        <v>525</v>
        <stp/>
        <stp>ECF 13!-ICN</stp>
        <stp>Cumulative Volume</stp>
        <tr r="H14" s="1"/>
      </tp>
      <tp t="s">
        <v/>
        <stp/>
        <stp>ECF 14!:ECF15!-ICN</stp>
        <stp>Cumulative Volume</stp>
        <tr r="H29" s="1"/>
      </tp>
      <tp t="s">
        <v/>
        <stp/>
        <stp>ECF 1!:ECF2!-ICN</stp>
        <stp>High</stp>
        <tr r="D17" s="1"/>
      </tp>
      <tp t="s">
        <v/>
        <stp/>
        <stp>ECF 13!:ECF14!-ICN</stp>
        <stp>Change</stp>
        <tr r="C28" s="1"/>
      </tp>
      <tp t="s">
        <v/>
        <stp/>
        <stp>ECF 14!:ECF15!-ICN</stp>
        <stp>Change</stp>
        <tr r="C29" s="1"/>
      </tp>
      <tp t="s">
        <v/>
        <stp/>
        <stp>ECF 11!:ECF12!-ICN</stp>
        <stp>Change</stp>
        <tr r="C26" s="1"/>
      </tp>
      <tp>
        <v>4.0000000000000036E-2</v>
        <stp/>
        <stp>ECF 12!:ECF13!-ICN</stp>
        <stp>Change</stp>
        <tr r="C27" s="1"/>
      </tp>
      <tp t="s">
        <v/>
        <stp/>
        <stp>XICF008-PLM</stp>
        <stp>Recent Settlement</stp>
        <tr r="J40" s="1"/>
      </tp>
      <tp t="s">
        <v/>
        <stp/>
        <stp>XICFU18-PLM</stp>
        <stp>Recent Settlement</stp>
        <tr r="J54" s="1"/>
      </tp>
      <tp t="s">
        <v/>
        <stp/>
        <stp>XICFZ18-PLM</stp>
        <stp>Recent Settlement</stp>
        <tr r="J57" s="1"/>
      </tp>
      <tp t="s">
        <v/>
        <stp/>
        <stp>XICFH18-PLM</stp>
        <stp>Recent Settlement</stp>
        <tr r="J47" s="1"/>
      </tp>
      <tp t="s">
        <v/>
        <stp/>
        <stp>XICFM18-PLM</stp>
        <stp>Recent Settlement</stp>
        <tr r="J51" s="1"/>
      </tp>
      <tp t="s">
        <v/>
        <stp/>
        <stp>ECF 3!:ECF5!-ICN</stp>
        <stp>Last</stp>
        <tr r="B19" s="1"/>
      </tp>
      <tp>
        <v>-0.51</v>
        <stp/>
        <stp>ECF 4!:ECF5!-ICN</stp>
        <stp>Last</stp>
        <tr r="B20" s="1"/>
      </tp>
      <tp t="s">
        <v/>
        <stp/>
        <stp>XICF007-PLM</stp>
        <stp>Recent Settlement</stp>
        <tr r="J39" s="1"/>
      </tp>
      <tp t="s">
        <v/>
        <stp/>
        <stp>XICF006-PLM</stp>
        <stp>Recent Settlement</stp>
        <tr r="J38" s="1"/>
      </tp>
      <tp t="s">
        <v/>
        <stp/>
        <stp>XICF016-PLM</stp>
        <stp>Recent Settlement</stp>
        <tr r="J46" s="1"/>
      </tp>
      <tp t="s">
        <v/>
        <stp/>
        <stp>ECF 6!:ECF7!-ICN</stp>
        <stp>Last</stp>
        <tr r="B22" s="1"/>
      </tp>
      <tp t="s">
        <v/>
        <stp/>
        <stp>XICF005-PLM</stp>
        <stp>Recent Settlement</stp>
        <tr r="J37" s="1"/>
      </tp>
      <tp t="s">
        <v/>
        <stp/>
        <stp>ECF 5!:ECF6!-ICN</stp>
        <stp>Last</stp>
        <tr r="B21" s="1"/>
      </tp>
      <tp t="s">
        <v/>
        <stp/>
        <stp>XICF004-PLM</stp>
        <stp>Recent Settlement</stp>
        <tr r="J36" s="1"/>
      </tp>
      <tp t="s">
        <v>ECF 27Z:ECF28H-ICN</v>
        <stp/>
        <stp>ECF 13!:ECF14!-ICN</stp>
        <stp>Symbol</stp>
        <tr r="A28" s="1"/>
      </tp>
      <tp t="s">
        <v>ECF 14!:ECF15!-ICN</v>
        <stp/>
        <stp>ECF 14!:ECF15!-ICN</stp>
        <stp>Symbol</stp>
        <tr r="A29" s="1"/>
      </tp>
      <tp t="s">
        <v>ECF 27M:ECF27Q-ICN</v>
        <stp/>
        <stp>ECF 11!:ECF12!-ICN</stp>
        <stp>Symbol</stp>
        <tr r="A26" s="1"/>
      </tp>
      <tp t="s">
        <v>ECF 27Q:ECF27Z-ICN</v>
        <stp/>
        <stp>ECF 12!:ECF13!-ICN</stp>
        <stp>Symbol</stp>
        <tr r="A27" s="1"/>
      </tp>
      <tp t="s">
        <v/>
        <stp/>
        <stp>ECF 8!:ECF9!-ICN</stp>
        <stp>High</stp>
        <tr r="D24" s="1"/>
      </tp>
      <tp t="s">
        <v/>
        <stp/>
        <stp>XICF003-PLM</stp>
        <stp>Recent Settlement</stp>
        <tr r="J35" s="1"/>
      </tp>
      <tp t="s">
        <v/>
        <stp/>
        <stp>XICF013-PLM</stp>
        <stp>Recent Settlement</stp>
        <tr r="J45" s="1"/>
      </tp>
      <tp t="s">
        <v/>
        <stp/>
        <stp>ECFZ 2!-ICN</stp>
        <stp>Ask</stp>
        <tr r="G31" s="1"/>
      </tp>
      <tp>
        <v>0.01</v>
        <stp/>
        <stp>ECFZ 1!-ICN</stp>
        <stp>Ask</stp>
        <tr r="G30" s="1"/>
      </tp>
      <tp>
        <v>-0.54</v>
        <stp/>
        <stp>ECF 9!:ECF10!-ICN</stp>
        <stp>High</stp>
        <tr r="D25" s="1"/>
      </tp>
      <tp t="s">
        <v/>
        <stp/>
        <stp>ECF 14!-ICN</stp>
        <stp>Change</stp>
        <tr r="C15" s="1"/>
      </tp>
      <tp t="s">
        <v/>
        <stp/>
        <stp>ECF 15!-ICN</stp>
        <stp>Change</stp>
        <tr r="C16" s="1"/>
      </tp>
      <tp>
        <v>-0.19999999999998863</v>
        <stp/>
        <stp>ECF 10!-ICN</stp>
        <stp>Change</stp>
        <tr r="C11" s="1"/>
      </tp>
      <tp t="s">
        <v/>
        <stp/>
        <stp>ECF 11!-ICN</stp>
        <stp>Change</stp>
        <tr r="C12" s="1"/>
      </tp>
      <tp>
        <v>-9.9999999999994316E-2</v>
        <stp/>
        <stp>ECF 12!-ICN</stp>
        <stp>Change</stp>
        <tr r="C13" s="1"/>
      </tp>
      <tp>
        <v>-0.15999999999999659</v>
        <stp/>
        <stp>ECF 13!-ICN</stp>
        <stp>Change</stp>
        <tr r="C14" s="1"/>
      </tp>
      <tp t="s">
        <v/>
        <stp/>
        <stp>ECF 7!:ECF8!-ICN</stp>
        <stp>High</stp>
        <tr r="D23" s="1"/>
      </tp>
      <tp t="s">
        <v/>
        <stp/>
        <stp>XICF002-PLM</stp>
        <stp>Recent Settlement</stp>
        <tr r="J34" s="1"/>
      </tp>
      <tp t="s">
        <v/>
        <stp/>
        <stp>XICF012-PLM</stp>
        <stp>Recent Settlement</stp>
        <tr r="J44" s="1"/>
      </tp>
      <tp t="s">
        <v/>
        <stp/>
        <stp>ECF 2!:ECF3!-ICN</stp>
        <stp>Last</stp>
        <tr r="B18" s="1"/>
      </tp>
      <tp t="s">
        <v/>
        <stp/>
        <stp>XICF001-PLM</stp>
        <stp>Recent Settlement</stp>
        <tr r="J33" s="1"/>
      </tp>
      <tp t="s">
        <v/>
        <stp/>
        <stp>XICF011-PLM</stp>
        <stp>Recent Settlement</stp>
        <tr r="J43" s="1"/>
      </tp>
      <tp t="s">
        <v/>
        <stp/>
        <stp>XICFZ21-PLM</stp>
        <stp>Recent Settlement</stp>
        <tr r="J60" s="1"/>
      </tp>
      <tp t="s">
        <v/>
        <stp/>
        <stp>XICFH21-PLM</stp>
        <stp>Recent Settlement</stp>
        <tr r="J50" s="1"/>
      </tp>
      <tp t="s">
        <v/>
        <stp/>
        <stp>ECF 1!:ECF2!-ICN</stp>
        <stp>Last</stp>
        <tr r="B17" s="1"/>
      </tp>
      <tp t="s">
        <v/>
        <stp/>
        <stp>XICF000-PLM</stp>
        <stp>Recent Settlement</stp>
        <tr r="J32" s="1"/>
      </tp>
      <tp t="s">
        <v/>
        <stp/>
        <stp>XICF010-PLM</stp>
        <stp>Recent Settlement</stp>
        <tr r="J42" s="1"/>
      </tp>
      <tp t="s">
        <v/>
        <stp/>
        <stp>XICFU20-PLM</stp>
        <stp>Recent Settlement</stp>
        <tr r="J56" s="1"/>
      </tp>
      <tp t="s">
        <v/>
        <stp/>
        <stp>XICFZ20-PLM</stp>
        <stp>Recent Settlement</stp>
        <tr r="J59" s="1"/>
      </tp>
      <tp t="s">
        <v/>
        <stp/>
        <stp>XICFH20-PLM</stp>
        <stp>Recent Settlement</stp>
        <tr r="J49" s="1"/>
      </tp>
      <tp t="s">
        <v/>
        <stp/>
        <stp>XICFM20-PLM</stp>
        <stp>Recent Settlement</stp>
        <tr r="J53" s="1"/>
      </tp>
      <tp>
        <v>0</v>
        <stp/>
        <stp>ECFZ 1!-ICN</stp>
        <stp>Bid</stp>
        <tr r="F30" s="1"/>
      </tp>
      <tp t="s">
        <v/>
        <stp/>
        <stp>ECFZ 2!-ICN</stp>
        <stp>Bid</stp>
        <tr r="F31" s="1"/>
      </tp>
    </main>
    <main first="esrtd">
      <tp t="s">
        <v/>
        <stp/>
        <stp>ECF 2!:ECF3!-ICN</stp>
        <stp>Low</stp>
        <tr r="E18" s="1"/>
      </tp>
      <tp t="s">
        <v/>
        <stp/>
        <stp>ECF 1!:ECF2!-ICN</stp>
        <stp>Low</stp>
        <tr r="E17" s="1"/>
      </tp>
      <tp t="s">
        <v/>
        <stp/>
        <stp>ECF 6!:ECF7!-ICN</stp>
        <stp>Low</stp>
        <tr r="E22" s="1"/>
      </tp>
      <tp t="s">
        <v/>
        <stp/>
        <stp>ECF 5!:ECF6!-ICN</stp>
        <stp>Low</stp>
        <tr r="E21" s="1"/>
      </tp>
    </main>
    <main first="esrtd">
      <tp t="s">
        <v/>
        <stp/>
        <stp>ECF 3!:ECF5!-ICN</stp>
        <stp>Low</stp>
        <tr r="E19" s="1"/>
      </tp>
      <tp>
        <v>-0.52</v>
        <stp/>
        <stp>ECF 4!:ECF5!-ICN</stp>
        <stp>Low</stp>
        <tr r="E20" s="1"/>
      </tp>
      <tp t="s">
        <v/>
        <stp/>
        <stp>ECF 8!:ECF9!-ICN</stp>
        <stp>Low</stp>
        <tr r="E24" s="1"/>
      </tp>
      <tp t="s">
        <v/>
        <stp/>
        <stp>ECF 7!:ECF8!-ICN</stp>
        <stp>Low</stp>
        <tr r="E23" s="1"/>
      </tp>
      <tp t="s">
        <v/>
        <stp/>
        <stp>ECF 6!-ICN</stp>
        <stp>Last</stp>
        <tr r="B7" s="1"/>
      </tp>
      <tp t="s">
        <v/>
        <stp/>
        <stp>XICF013-PLM</stp>
        <stp>Open Interest</stp>
        <tr r="I45" s="1"/>
      </tp>
      <tp t="s">
        <v/>
        <stp/>
        <stp>XICF003-PLM</stp>
        <stp>Open Interest</stp>
        <tr r="I35" s="1"/>
      </tp>
      <tp>
        <v>72.25</v>
        <stp/>
        <stp>ECF 7!-ICN</stp>
        <stp>Last</stp>
        <tr r="B8" s="1"/>
      </tp>
      <tp t="s">
        <v/>
        <stp/>
        <stp>XICF012-PLM</stp>
        <stp>Open Interest</stp>
        <tr r="I44" s="1"/>
      </tp>
      <tp t="s">
        <v/>
        <stp/>
        <stp>XICF002-PLM</stp>
        <stp>Open Interest</stp>
        <tr r="I34" s="1"/>
      </tp>
      <tp>
        <v>71.06</v>
        <stp/>
        <stp>ECF 4!-ICN</stp>
        <stp>Last</stp>
        <tr r="B5" s="1"/>
      </tp>
      <tp t="s">
        <v/>
        <stp/>
        <stp>XICF011-PLM</stp>
        <stp>Open Interest</stp>
        <tr r="I43" s="1"/>
      </tp>
      <tp t="s">
        <v/>
        <stp/>
        <stp>XICF001-PLM</stp>
        <stp>Open Interest</stp>
        <tr r="I33" s="1"/>
      </tp>
      <tp t="s">
        <v/>
        <stp/>
        <stp>XICFH21-PLM</stp>
        <stp>Open Interest</stp>
        <tr r="I50" s="1"/>
      </tp>
      <tp t="s">
        <v/>
        <stp/>
        <stp>XICFZ21-PLM</stp>
        <stp>Open Interest</stp>
        <tr r="I60" s="1"/>
      </tp>
      <tp>
        <v>71.2</v>
        <stp/>
        <stp>ECF 5!-ICN</stp>
        <stp>Last</stp>
        <tr r="B6" s="1"/>
      </tp>
      <tp t="s">
        <v/>
        <stp/>
        <stp>XICF010-PLM</stp>
        <stp>Open Interest</stp>
        <tr r="I42" s="1"/>
      </tp>
      <tp t="s">
        <v/>
        <stp/>
        <stp>XICF000-PLM</stp>
        <stp>Open Interest</stp>
        <tr r="I32" s="1"/>
      </tp>
      <tp t="s">
        <v/>
        <stp/>
        <stp>XICFM20-PLM</stp>
        <stp>Open Interest</stp>
        <tr r="I53" s="1"/>
      </tp>
      <tp t="s">
        <v/>
        <stp/>
        <stp>XICFH20-PLM</stp>
        <stp>Open Interest</stp>
        <tr r="I49" s="1"/>
      </tp>
      <tp t="s">
        <v/>
        <stp/>
        <stp>XICFU20-PLM</stp>
        <stp>Open Interest</stp>
        <tr r="I56" s="1"/>
      </tp>
      <tp t="s">
        <v/>
        <stp/>
        <stp>XICFZ20-PLM</stp>
        <stp>Open Interest</stp>
        <tr r="I59" s="1"/>
      </tp>
      <tp>
        <v>0</v>
        <stp/>
        <stp>ECF 8!:ECF9!-ICN</stp>
        <stp>Cumulative Volume</stp>
        <tr r="H24" s="1"/>
      </tp>
      <tp>
        <v>35</v>
        <stp/>
        <stp>ECF 4!:ECF5!-ICN</stp>
        <stp>Cumulative Volume</stp>
        <tr r="H20" s="1"/>
      </tp>
      <tp>
        <v>0</v>
        <stp/>
        <stp>ECF 5!:ECF6!-ICN</stp>
        <stp>Cumulative Volume</stp>
        <tr r="H21" s="1"/>
      </tp>
      <tp>
        <v>0</v>
        <stp/>
        <stp>ECF 6!:ECF7!-ICN</stp>
        <stp>Cumulative Volume</stp>
        <tr r="H22" s="1"/>
      </tp>
      <tp>
        <v>0</v>
        <stp/>
        <stp>ECF 7!:ECF8!-ICN</stp>
        <stp>Cumulative Volume</stp>
        <tr r="H23" s="1"/>
      </tp>
      <tp>
        <v>0</v>
        <stp/>
        <stp>ECF 1!:ECF2!-ICN</stp>
        <stp>Cumulative Volume</stp>
        <tr r="H17" s="1"/>
      </tp>
      <tp>
        <v>0</v>
        <stp/>
        <stp>ECF 2!:ECF3!-ICN</stp>
        <stp>Cumulative Volume</stp>
        <tr r="H18" s="1"/>
      </tp>
      <tp t="s">
        <v/>
        <stp/>
        <stp>ECF 2!-ICN</stp>
        <stp>Last</stp>
        <tr r="B3" s="1"/>
      </tp>
      <tp t="s">
        <v/>
        <stp/>
        <stp>ECF 3!:ECF5!-ICN</stp>
        <stp>Cumulative Volume</stp>
        <tr r="H19" s="1"/>
      </tp>
      <tp t="s">
        <v/>
        <stp/>
        <stp>XICF007-PLM</stp>
        <stp>Open Interest</stp>
        <tr r="I39" s="1"/>
      </tp>
      <tp t="s">
        <v/>
        <stp/>
        <stp>ECF 3!-ICN</stp>
        <stp>Last</stp>
        <tr r="B4" s="1"/>
      </tp>
      <tp t="s">
        <v/>
        <stp/>
        <stp>XICF016-PLM</stp>
        <stp>Open Interest</stp>
        <tr r="I46" s="1"/>
      </tp>
      <tp t="s">
        <v/>
        <stp/>
        <stp>XICF006-PLM</stp>
        <stp>Open Interest</stp>
        <tr r="I38" s="1"/>
      </tp>
    </main>
    <main first="esrtd">
      <tp t="s">
        <v/>
        <stp/>
        <stp>ECF 8!-ICN</stp>
        <stp>High</stp>
        <tr r="D9" s="1"/>
      </tp>
      <tp t="s">
        <v/>
        <stp/>
        <stp>XICF005-PLM</stp>
        <stp>Open Interest</stp>
        <tr r="I37" s="1"/>
      </tp>
      <tp>
        <v>73.41</v>
        <stp/>
        <stp>ECF 9!-ICN</stp>
        <stp>High</stp>
        <tr r="D10" s="1"/>
      </tp>
      <tp>
        <v>70.27</v>
        <stp/>
        <stp>ECF 1!-ICN</stp>
        <stp>Last</stp>
        <tr r="B2" s="1"/>
      </tp>
      <tp t="s">
        <v/>
        <stp/>
        <stp>XICF004-PLM</stp>
        <stp>Open Interest</stp>
        <tr r="I36" s="1"/>
      </tp>
      <tp t="s">
        <v/>
        <stp/>
        <stp>ECF 6!-ICN</stp>
        <stp>High</stp>
        <tr r="D7" s="1"/>
      </tp>
      <tp>
        <v>72.25</v>
        <stp/>
        <stp>ECF 7!-ICN</stp>
        <stp>High</stp>
        <tr r="D8" s="1"/>
      </tp>
      <tp>
        <v>71.540000000000006</v>
        <stp/>
        <stp>ECF 4!-ICN</stp>
        <stp>High</stp>
        <tr r="D5" s="1"/>
      </tp>
      <tp t="s">
        <v/>
        <stp/>
        <stp>XICF009-PLM</stp>
        <stp>Open Interest</stp>
        <tr r="I41" s="1"/>
      </tp>
      <tp t="s">
        <v/>
        <stp/>
        <stp>XICFM19-PLM</stp>
        <stp>Open Interest</stp>
        <tr r="I52" s="1"/>
      </tp>
      <tp t="s">
        <v/>
        <stp/>
        <stp>XICFH19-PLM</stp>
        <stp>Open Interest</stp>
        <tr r="I48" s="1"/>
      </tp>
      <tp t="s">
        <v/>
        <stp/>
        <stp>XICFU19-PLM</stp>
        <stp>Open Interest</stp>
        <tr r="I55" s="1"/>
      </tp>
      <tp t="s">
        <v/>
        <stp/>
        <stp>XICFZ19-PLM</stp>
        <stp>Open Interest</stp>
        <tr r="I58" s="1"/>
      </tp>
      <tp>
        <v>71.650000000000006</v>
        <stp/>
        <stp>ECF 5!-ICN</stp>
        <stp>High</stp>
        <tr r="D6" s="1"/>
      </tp>
      <tp t="s">
        <v/>
        <stp/>
        <stp>XICF008-PLM</stp>
        <stp>Open Interest</stp>
        <tr r="I40" s="1"/>
      </tp>
      <tp t="s">
        <v/>
        <stp/>
        <stp>XICFM18-PLM</stp>
        <stp>Open Interest</stp>
        <tr r="I51" s="1"/>
      </tp>
      <tp t="s">
        <v/>
        <stp/>
        <stp>XICFH18-PLM</stp>
        <stp>Open Interest</stp>
        <tr r="I47" s="1"/>
      </tp>
      <tp t="s">
        <v/>
        <stp/>
        <stp>XICFU18-PLM</stp>
        <stp>Open Interest</stp>
        <tr r="I54" s="1"/>
      </tp>
      <tp t="s">
        <v/>
        <stp/>
        <stp>XICFZ18-PLM</stp>
        <stp>Open Interest</stp>
        <tr r="I57" s="1"/>
      </tp>
      <tp t="s">
        <v/>
        <stp/>
        <stp>ECF 2!-ICN</stp>
        <stp>High</stp>
        <tr r="D3" s="1"/>
      </tp>
      <tp>
        <v>-0.34</v>
        <stp/>
        <stp>ECF 8!:ECF9!-ICN</stp>
        <stp>Ask</stp>
        <tr r="G24" s="1"/>
      </tp>
      <tp>
        <v>-0.11</v>
        <stp/>
        <stp>ECF 7!:ECF8!-ICN</stp>
        <stp>Ask</stp>
        <tr r="G23" s="1"/>
      </tp>
      <tp>
        <v>-0.25</v>
        <stp/>
        <stp>ECF 6!:ECF7!-ICN</stp>
        <stp>Ask</stp>
        <tr r="G22" s="1"/>
      </tp>
      <tp>
        <v>-0.44</v>
        <stp/>
        <stp>ECF 5!:ECF6!-ICN</stp>
        <stp>Ask</stp>
        <tr r="G21" s="1"/>
      </tp>
      <tp t="s">
        <v/>
        <stp/>
        <stp>ECF 3!:ECF5!-ICN</stp>
        <stp>Ask</stp>
        <tr r="G19" s="1"/>
      </tp>
      <tp>
        <v>-0.5</v>
        <stp/>
        <stp>ECF 4!:ECF5!-ICN</stp>
        <stp>Ask</stp>
        <tr r="G20" s="1"/>
      </tp>
      <tp>
        <v>-0.12</v>
        <stp/>
        <stp>ECF 2!:ECF3!-ICN</stp>
        <stp>Ask</stp>
        <tr r="G18" s="1"/>
      </tp>
      <tp>
        <v>-0.12</v>
        <stp/>
        <stp>ECF 1!:ECF2!-ICN</stp>
        <stp>Ask</stp>
        <tr r="G17" s="1"/>
      </tp>
      <tp t="s">
        <v/>
        <stp/>
        <stp>ECF 3!-ICN</stp>
        <stp>High</stp>
        <tr r="D4" s="1"/>
      </tp>
      <tp t="s">
        <v/>
        <stp/>
        <stp>ECF 3!:ECF5!-ICN</stp>
        <stp>Bid</stp>
        <tr r="F19" s="1"/>
      </tp>
      <tp>
        <v>-0.51</v>
        <stp/>
        <stp>ECF 4!:ECF5!-ICN</stp>
        <stp>Bid</stp>
        <tr r="F20" s="1"/>
      </tp>
      <tp>
        <v>-0.38</v>
        <stp/>
        <stp>ECF 6!:ECF7!-ICN</stp>
        <stp>Bid</stp>
        <tr r="F22" s="1"/>
      </tp>
      <tp>
        <v>-0.55000000000000004</v>
        <stp/>
        <stp>ECF 5!:ECF6!-ICN</stp>
        <stp>Bid</stp>
        <tr r="F21" s="1"/>
      </tp>
      <tp>
        <v>-0.16</v>
        <stp/>
        <stp>ECF 2!:ECF3!-ICN</stp>
        <stp>Bid</stp>
        <tr r="F18" s="1"/>
      </tp>
      <tp>
        <v>-0.14000000000000001</v>
        <stp/>
        <stp>ECF 1!:ECF2!-ICN</stp>
        <stp>Bid</stp>
        <tr r="F17" s="1"/>
      </tp>
      <tp>
        <v>-0.48</v>
        <stp/>
        <stp>ECF 8!:ECF9!-ICN</stp>
        <stp>Bid</stp>
        <tr r="F24" s="1"/>
      </tp>
      <tp>
        <v>-0.26</v>
        <stp/>
        <stp>ECF 7!:ECF8!-ICN</stp>
        <stp>Bid</stp>
        <tr r="F23" s="1"/>
      </tp>
      <tp t="s">
        <v/>
        <stp/>
        <stp>ECF 8!-ICN</stp>
        <stp>Last</stp>
        <tr r="B9" s="1"/>
      </tp>
      <tp>
        <v>70.95</v>
        <stp/>
        <stp>ECF 1!-ICN</stp>
        <stp>High</stp>
        <tr r="D2" s="1"/>
      </tp>
      <tp>
        <v>72.97</v>
        <stp/>
        <stp>ECF 9!-ICN</stp>
        <stp>Last</stp>
        <tr r="B10" s="1"/>
      </tp>
    </main>
    <main first="esrtd">
      <tp t="s">
        <v/>
        <stp/>
        <stp>ECF 11!:ECF12!-ICN</stp>
        <stp>Open Interest</stp>
        <tr r="I26" s="1"/>
      </tp>
      <tp t="s">
        <v/>
        <stp/>
        <stp>ECF 12!:ECF13!-ICN</stp>
        <stp>Open Interest</stp>
        <tr r="I27" s="1"/>
      </tp>
      <tp t="s">
        <v/>
        <stp/>
        <stp>ECF 13!:ECF14!-ICN</stp>
        <stp>Open Interest</stp>
        <tr r="I28" s="1"/>
      </tp>
      <tp>
        <v>3443</v>
        <stp/>
        <stp>ECF 12!-ICN</stp>
        <stp>Open Interest</stp>
        <tr r="I13" s="1"/>
      </tp>
      <tp>
        <v>48143</v>
        <stp/>
        <stp>ECF 13!-ICN</stp>
        <stp>Open Interest</stp>
        <tr r="I14" s="1"/>
      </tp>
      <tp>
        <v>664</v>
        <stp/>
        <stp>ECF 10!-ICN</stp>
        <stp>Open Interest</stp>
        <tr r="I11" s="1"/>
      </tp>
      <tp t="s">
        <v/>
        <stp/>
        <stp>ECF 11!-ICN</stp>
        <stp>Open Interest</stp>
        <tr r="I12" s="1"/>
      </tp>
      <tp>
        <v>1</v>
        <stp/>
        <stp>ECF 14!-ICN</stp>
        <stp>Open Interest</stp>
        <tr r="I15" s="1"/>
      </tp>
      <tp t="s">
        <v/>
        <stp/>
        <stp>ECF 15!-ICN</stp>
        <stp>Open Interest</stp>
        <tr r="I16" s="1"/>
      </tp>
      <tp t="s">
        <v/>
        <stp/>
        <stp>ECF 14!:ECF15!-ICN</stp>
        <stp>Open Interest</stp>
        <tr r="I29" s="1"/>
      </tp>
      <tp t="s">
        <v/>
        <stp/>
        <stp>ECFZ 2!-ICN</stp>
        <stp>Open Interest</stp>
        <tr r="I31" s="1"/>
      </tp>
      <tp t="s">
        <v/>
        <stp/>
        <stp>ECFZ 1!-ICN</stp>
        <stp>Open Interest</stp>
        <tr r="I30" s="1"/>
      </tp>
      <tp>
        <v>-0.54</v>
        <stp/>
        <stp>ECF 9!:ECF10!-ICN</stp>
        <stp>Bid</stp>
        <tr r="F25" s="1"/>
      </tp>
      <tp>
        <v>-0.49</v>
        <stp/>
        <stp>ECF 9!:ECF10!-ICN</stp>
        <stp>Ask</stp>
        <tr r="G25" s="1"/>
      </tp>
    </main>
    <main first="esrtd">
      <tp>
        <v>-0.42</v>
        <stp/>
        <stp>ECF 8!:ECF9!-ICN</stp>
        <stp>Recent Settlement</stp>
        <tr r="J24" s="1"/>
      </tp>
      <tp>
        <v>-0.19</v>
        <stp/>
        <stp>ECF 7!:ECF8!-ICN</stp>
        <stp>Recent Settlement</stp>
        <tr r="J23" s="1"/>
      </tp>
      <tp>
        <v>-0.28999999999999998</v>
        <stp/>
        <stp>ECF 6!:ECF7!-ICN</stp>
        <stp>Recent Settlement</stp>
        <tr r="J22" s="1"/>
      </tp>
      <tp>
        <v>-0.51</v>
        <stp/>
        <stp>ECF 5!:ECF6!-ICN</stp>
        <stp>Recent Settlement</stp>
        <tr r="J21" s="1"/>
      </tp>
      <tp>
        <v>-0.51</v>
        <stp/>
        <stp>ECF 4!:ECF5!-ICN</stp>
        <stp>Recent Settlement</stp>
        <tr r="J20" s="1"/>
      </tp>
      <tp t="s">
        <v/>
        <stp/>
        <stp>ECF 3!:ECF5!-ICN</stp>
        <stp>Recent Settlement</stp>
        <tr r="J19" s="1"/>
      </tp>
      <tp>
        <v>-0.13</v>
        <stp/>
        <stp>ECF 2!:ECF3!-ICN</stp>
        <stp>Recent Settlement</stp>
        <tr r="J18" s="1"/>
      </tp>
      <tp>
        <v>-0.13</v>
        <stp/>
        <stp>ECF 1!:ECF2!-ICN</stp>
        <stp>Recent Settlement</stp>
        <tr r="J17" s="1"/>
      </tp>
      <tp>
        <v>-0.54</v>
        <stp/>
        <stp>ECF 9!:ECF10!-ICN</stp>
        <stp>Low</stp>
        <tr r="E25" s="1"/>
      </tp>
      <tp t="s">
        <v/>
        <stp/>
        <stp>ECF 11!:ECF12!-ICN</stp>
        <stp>Bid</stp>
        <tr r="F26" s="1"/>
      </tp>
      <tp>
        <v>-0.77</v>
        <stp/>
        <stp>ECF 12!:ECF13!-ICN</stp>
        <stp>Bid</stp>
        <tr r="F27" s="1"/>
      </tp>
      <tp>
        <v>-0.75</v>
        <stp/>
        <stp>ECF 13!:ECF14!-ICN</stp>
        <stp>Bid</stp>
        <tr r="F28" s="1"/>
      </tp>
      <tp t="s">
        <v/>
        <stp/>
        <stp>ECF 14!:ECF15!-ICN</stp>
        <stp>Bid</stp>
        <tr r="F29" s="1"/>
      </tp>
      <tp t="s">
        <v/>
        <stp/>
        <stp>ECF 11!:ECF12!-ICN</stp>
        <stp>Ask</stp>
        <tr r="G26" s="1"/>
      </tp>
      <tp>
        <v>-0.68</v>
        <stp/>
        <stp>ECF 12!:ECF13!-ICN</stp>
        <stp>Ask</stp>
        <tr r="G27" s="1"/>
      </tp>
      <tp>
        <v>-0.56000000000000005</v>
        <stp/>
        <stp>ECF 13!:ECF14!-ICN</stp>
        <stp>Ask</stp>
        <tr r="G28" s="1"/>
      </tp>
      <tp t="s">
        <v/>
        <stp/>
        <stp>ECF 14!:ECF15!-ICN</stp>
        <stp>Ask</stp>
        <tr r="G29" s="1"/>
      </tp>
      <tp>
        <v>800</v>
        <stp/>
        <stp>ECF 8!-ICN</stp>
        <stp>Open Interest</stp>
        <tr r="I9" s="1"/>
      </tp>
      <tp>
        <v>166986</v>
        <stp/>
        <stp>ECF 9!-ICN</stp>
        <stp>Open Interest</stp>
        <tr r="I10" s="1"/>
      </tp>
      <tp>
        <v>335216</v>
        <stp/>
        <stp>ECF 4!-ICN</stp>
        <stp>Open Interest</stp>
        <tr r="I5" s="1"/>
      </tp>
      <tp>
        <v>32675</v>
        <stp/>
        <stp>ECF 5!-ICN</stp>
        <stp>Open Interest</stp>
        <tr r="I6" s="1"/>
      </tp>
      <tp>
        <v>820</v>
        <stp/>
        <stp>ECF 6!-ICN</stp>
        <stp>Open Interest</stp>
        <tr r="I7" s="1"/>
      </tp>
      <tp>
        <v>16112</v>
        <stp/>
        <stp>ECF 7!-ICN</stp>
        <stp>Open Interest</stp>
        <tr r="I8" s="1"/>
      </tp>
      <tp>
        <v>55159</v>
        <stp/>
        <stp>ECF 1!-ICN</stp>
        <stp>Open Interest</stp>
        <tr r="I2" s="1"/>
      </tp>
      <tp>
        <v>7921</v>
        <stp/>
        <stp>ECF 2!-ICN</stp>
        <stp>Open Interest</stp>
        <tr r="I3" s="1"/>
      </tp>
      <tp>
        <v>3138</v>
        <stp/>
        <stp>ECF 3!-ICN</stp>
        <stp>Open Interest</stp>
        <tr r="I4" s="1"/>
      </tp>
      <tp t="s">
        <v/>
        <stp/>
        <stp>ECF 13!:ECF14!-ICN</stp>
        <stp>Low</stp>
        <tr r="E28" s="1"/>
      </tp>
      <tp t="s">
        <v/>
        <stp/>
        <stp>ECF 14!:ECF15!-ICN</stp>
        <stp>Low</stp>
        <tr r="E29" s="1"/>
      </tp>
      <tp t="s">
        <v/>
        <stp/>
        <stp>ECF 11!:ECF12!-ICN</stp>
        <stp>Low</stp>
        <tr r="E26" s="1"/>
      </tp>
      <tp>
        <v>-0.69</v>
        <stp/>
        <stp>ECF 12!:ECF13!-ICN</stp>
        <stp>Low</stp>
        <tr r="E27" s="1"/>
      </tp>
      <tp t="s">
        <v/>
        <stp/>
        <stp>ECF 9!:ECF10!-ICN</stp>
        <stp>Open Interest</stp>
        <tr r="I25" s="1"/>
      </tp>
      <tp>
        <v>73.400000000000006</v>
        <stp/>
        <stp>ECF 10!-ICN</stp>
        <stp>Last</stp>
        <tr r="B11" s="1"/>
      </tp>
      <tp t="s">
        <v/>
        <stp/>
        <stp>ECF 11!:ECF12!-ICN</stp>
        <stp>Last</stp>
        <tr r="B26" s="1"/>
      </tp>
      <tp>
        <v>71.08</v>
        <stp/>
        <stp>ECF 4!-ICN</stp>
        <stp>Ask</stp>
        <tr r="G5" s="1"/>
      </tp>
      <tp>
        <v>71.59</v>
        <stp/>
        <stp>ECF 5!-ICN</stp>
        <stp>Ask</stp>
        <tr r="G6" s="1"/>
      </tp>
      <tp>
        <v>72.13</v>
        <stp/>
        <stp>ECF 6!-ICN</stp>
        <stp>Ask</stp>
        <tr r="G7" s="1"/>
      </tp>
      <tp>
        <v>72.41</v>
        <stp/>
        <stp>ECF 7!-ICN</stp>
        <stp>Ask</stp>
        <tr r="G8" s="1"/>
      </tp>
      <tp>
        <v>70.709999999999994</v>
        <stp/>
        <stp>ECF 1!-ICN</stp>
        <stp>Ask</stp>
        <tr r="G2" s="1"/>
      </tp>
      <tp>
        <v>70.84</v>
        <stp/>
        <stp>ECF 2!-ICN</stp>
        <stp>Ask</stp>
        <tr r="G3" s="1"/>
      </tp>
      <tp>
        <v>70.989999999999995</v>
        <stp/>
        <stp>ECF 3!-ICN</stp>
        <stp>Ask</stp>
        <tr r="G4" s="1"/>
      </tp>
      <tp>
        <v>72.64</v>
        <stp/>
        <stp>ECF 8!-ICN</stp>
        <stp>Ask</stp>
        <tr r="G9" s="1"/>
      </tp>
      <tp>
        <v>73</v>
        <stp/>
        <stp>ECF 9!-ICN</stp>
        <stp>Ask</stp>
        <tr r="G10" s="1"/>
      </tp>
      <tp t="s">
        <v/>
        <stp/>
        <stp>ECF 11!-ICN</stp>
        <stp>Last</stp>
        <tr r="B12" s="1"/>
      </tp>
      <tp>
        <v>0</v>
        <stp/>
        <stp>ECFZ 1!-ICN</stp>
        <stp>Last</stp>
        <tr r="B30" s="1"/>
      </tp>
      <tp>
        <v>-0.69</v>
        <stp/>
        <stp>ECF 12!:ECF13!-ICN</stp>
        <stp>Last</stp>
        <tr r="B27" s="1"/>
      </tp>
      <tp>
        <v>74.48</v>
        <stp/>
        <stp>ECF 12!-ICN</stp>
        <stp>Last</stp>
        <tr r="B13" s="1"/>
      </tp>
      <tp t="s">
        <v/>
        <stp/>
        <stp>ECFZ 2!-ICN</stp>
        <stp>Last</stp>
        <tr r="B31" s="1"/>
      </tp>
      <tp>
        <v>72.5</v>
        <stp/>
        <stp>ECF 8!-ICN</stp>
        <stp>Bid</stp>
        <tr r="F9" s="1"/>
      </tp>
      <tp>
        <v>72.959999999999994</v>
        <stp/>
        <stp>ECF 9!-ICN</stp>
        <stp>Bid</stp>
        <tr r="F10" s="1"/>
      </tp>
      <tp>
        <v>72.010000000000005</v>
        <stp/>
        <stp>ECF 6!-ICN</stp>
        <stp>Bid</stp>
        <tr r="F7" s="1"/>
      </tp>
      <tp>
        <v>75.150000000000006</v>
        <stp/>
        <stp>ECF 13!-ICN</stp>
        <stp>Last</stp>
        <tr r="B14" s="1"/>
      </tp>
      <tp>
        <v>72.36</v>
        <stp/>
        <stp>ECF 7!-ICN</stp>
        <stp>Bid</stp>
        <tr r="F8" s="1"/>
      </tp>
      <tp>
        <v>71.06</v>
        <stp/>
        <stp>ECF 4!-ICN</stp>
        <stp>Bid</stp>
        <tr r="F5" s="1"/>
      </tp>
      <tp>
        <v>71.56</v>
        <stp/>
        <stp>ECF 5!-ICN</stp>
        <stp>Bid</stp>
        <tr r="F6" s="1"/>
      </tp>
      <tp>
        <v>70.8</v>
        <stp/>
        <stp>ECF 2!-ICN</stp>
        <stp>Bid</stp>
        <tr r="F3" s="1"/>
      </tp>
      <tp>
        <v>70.930000000000007</v>
        <stp/>
        <stp>ECF 3!-ICN</stp>
        <stp>Bid</stp>
        <tr r="F4" s="1"/>
      </tp>
      <tp>
        <v>70.67</v>
        <stp/>
        <stp>ECF 1!-ICN</stp>
        <stp>Bid</stp>
        <tr r="F2" s="1"/>
      </tp>
      <tp t="s">
        <v/>
        <stp/>
        <stp>ECF 14!-ICN</stp>
        <stp>Last</stp>
        <tr r="B15" s="1"/>
      </tp>
      <tp t="s">
        <v/>
        <stp/>
        <stp>XICFU18-PLM</stp>
        <stp>Last</stp>
        <tr r="B54" s="1"/>
      </tp>
      <tp t="s">
        <v/>
        <stp/>
        <stp>XICFZ18-PLM</stp>
        <stp>Last</stp>
        <tr r="B57" s="1"/>
      </tp>
      <tp t="s">
        <v/>
        <stp/>
        <stp>XICFM18-PLM</stp>
        <stp>Last</stp>
        <tr r="B51" s="1"/>
      </tp>
      <tp t="s">
        <v/>
        <stp/>
        <stp>XICFH18-PLM</stp>
        <stp>Last</stp>
        <tr r="B47" s="1"/>
      </tp>
      <tp t="s">
        <v/>
        <stp/>
        <stp>XICFU19-PLM</stp>
        <stp>Last</stp>
        <tr r="B55" s="1"/>
      </tp>
      <tp t="s">
        <v/>
        <stp/>
        <stp>XICFZ19-PLM</stp>
        <stp>Last</stp>
        <tr r="B58" s="1"/>
      </tp>
      <tp t="s">
        <v/>
        <stp/>
        <stp>XICFM19-PLM</stp>
        <stp>Last</stp>
        <tr r="B52" s="1"/>
      </tp>
      <tp t="s">
        <v/>
        <stp/>
        <stp>XICFH19-PLM</stp>
        <stp>Last</stp>
        <tr r="B48" s="1"/>
      </tp>
      <tp t="s">
        <v/>
        <stp/>
        <stp>XICF016-PLM</stp>
        <stp>Last</stp>
        <tr r="B46" s="1"/>
      </tp>
      <tp t="s">
        <v/>
        <stp/>
        <stp>XICF012-PLM</stp>
        <stp>Last</stp>
        <tr r="B44" s="1"/>
      </tp>
      <tp t="s">
        <v/>
        <stp/>
        <stp>XICF013-PLM</stp>
        <stp>Last</stp>
        <tr r="B45" s="1"/>
      </tp>
      <tp t="s">
        <v/>
        <stp/>
        <stp>XICF010-PLM</stp>
        <stp>Last</stp>
        <tr r="B42" s="1"/>
      </tp>
      <tp t="s">
        <v/>
        <stp/>
        <stp>XICF011-PLM</stp>
        <stp>Last</stp>
        <tr r="B43" s="1"/>
      </tp>
      <tp t="s">
        <v/>
        <stp/>
        <stp>ECF 15!-ICN</stp>
        <stp>Last</stp>
        <tr r="B16" s="1"/>
      </tp>
      <tp t="s">
        <v/>
        <stp/>
        <stp>XICF008-PLM</stp>
        <stp>Last</stp>
        <tr r="B40" s="1"/>
      </tp>
      <tp t="s">
        <v/>
        <stp/>
        <stp>XICF009-PLM</stp>
        <stp>Last</stp>
        <tr r="B41" s="1"/>
      </tp>
      <tp t="s">
        <v/>
        <stp/>
        <stp>XICF006-PLM</stp>
        <stp>Last</stp>
        <tr r="B38" s="1"/>
      </tp>
      <tp t="s">
        <v/>
        <stp/>
        <stp>XICF007-PLM</stp>
        <stp>Last</stp>
        <tr r="B39" s="1"/>
      </tp>
      <tp t="s">
        <v/>
        <stp/>
        <stp>XICF004-PLM</stp>
        <stp>Last</stp>
        <tr r="B36" s="1"/>
      </tp>
      <tp t="s">
        <v/>
        <stp/>
        <stp>XICF005-PLM</stp>
        <stp>Last</stp>
        <tr r="B37" s="1"/>
      </tp>
      <tp t="s">
        <v/>
        <stp/>
        <stp>XICF002-PLM</stp>
        <stp>Last</stp>
        <tr r="B34" s="1"/>
      </tp>
      <tp t="s">
        <v/>
        <stp/>
        <stp>XICF003-PLM</stp>
        <stp>Last</stp>
        <tr r="B35" s="1"/>
      </tp>
      <tp t="s">
        <v/>
        <stp/>
        <stp>XICF000-PLM</stp>
        <stp>Last</stp>
        <tr r="B32" s="1"/>
      </tp>
      <tp t="s">
        <v/>
        <stp/>
        <stp>XICF001-PLM</stp>
        <stp>Last</stp>
        <tr r="B33" s="1"/>
      </tp>
      <tp t="s">
        <v/>
        <stp/>
        <stp>ECF 13!:ECF14!-ICN</stp>
        <stp>Last</stp>
        <tr r="B28" s="1"/>
      </tp>
      <tp t="s">
        <v/>
        <stp/>
        <stp>ECF 14!:ECF15!-ICN</stp>
        <stp>Last</stp>
        <tr r="B29" s="1"/>
      </tp>
      <tp t="s">
        <v/>
        <stp/>
        <stp>XICFU20-PLM</stp>
        <stp>Last</stp>
        <tr r="B56" s="1"/>
      </tp>
      <tp t="s">
        <v/>
        <stp/>
        <stp>XICFZ20-PLM</stp>
        <stp>Last</stp>
        <tr r="B59" s="1"/>
      </tp>
      <tp t="s">
        <v/>
        <stp/>
        <stp>XICFM20-PLM</stp>
        <stp>Last</stp>
        <tr r="B53" s="1"/>
      </tp>
      <tp t="s">
        <v/>
        <stp/>
        <stp>XICFH20-PLM</stp>
        <stp>Last</stp>
        <tr r="B49" s="1"/>
      </tp>
      <tp t="s">
        <v/>
        <stp/>
        <stp>XICFZ21-PLM</stp>
        <stp>Last</stp>
        <tr r="B60" s="1"/>
      </tp>
      <tp t="s">
        <v/>
        <stp/>
        <stp>XICFH21-PLM</stp>
        <stp>Last</stp>
        <tr r="B50" s="1"/>
      </tp>
      <tp t="s">
        <v/>
        <stp/>
        <stp>ECF 11!:ECF12!-ICN</stp>
        <stp>High</stp>
        <tr r="D26" s="1"/>
      </tp>
      <tp>
        <v>73.5</v>
        <stp/>
        <stp>ECF 10!-ICN</stp>
        <stp>High</stp>
        <tr r="D11" s="1"/>
      </tp>
      <tp>
        <v>-0.69</v>
        <stp/>
        <stp>ECF 12!:ECF13!-ICN</stp>
        <stp>High</stp>
        <tr r="D27" s="1"/>
      </tp>
      <tp t="s">
        <v/>
        <stp/>
        <stp>ECF 11!-ICN</stp>
        <stp>High</stp>
        <tr r="D12" s="1"/>
      </tp>
      <tp>
        <v>0</v>
        <stp/>
        <stp>ECFZ 1!-ICN</stp>
        <stp>High</stp>
        <tr r="D30" s="1"/>
      </tp>
      <tp>
        <v>74.48</v>
        <stp/>
        <stp>ECF 12!-ICN</stp>
        <stp>High</stp>
        <tr r="D13" s="1"/>
      </tp>
      <tp t="s">
        <v/>
        <stp/>
        <stp>ECFZ 2!-ICN</stp>
        <stp>High</stp>
        <tr r="D31" s="1"/>
      </tp>
      <tp>
        <v>75.650000000000006</v>
        <stp/>
        <stp>ECF 13!-ICN</stp>
        <stp>High</stp>
        <tr r="D14" s="1"/>
      </tp>
      <tp t="s">
        <v/>
        <stp/>
        <stp>XICFU18-PLM</stp>
        <stp>High</stp>
        <tr r="D54" s="1"/>
      </tp>
      <tp t="s">
        <v/>
        <stp/>
        <stp>XICFZ18-PLM</stp>
        <stp>High</stp>
        <tr r="D57" s="1"/>
      </tp>
      <tp t="s">
        <v/>
        <stp/>
        <stp>XICFH18-PLM</stp>
        <stp>High</stp>
        <tr r="D47" s="1"/>
      </tp>
      <tp t="s">
        <v/>
        <stp/>
        <stp>XICFM18-PLM</stp>
        <stp>High</stp>
        <tr r="D51" s="1"/>
      </tp>
      <tp t="s">
        <v/>
        <stp/>
        <stp>XICFU19-PLM</stp>
        <stp>High</stp>
        <tr r="D55" s="1"/>
      </tp>
      <tp t="s">
        <v/>
        <stp/>
        <stp>XICFZ19-PLM</stp>
        <stp>High</stp>
        <tr r="D58" s="1"/>
      </tp>
      <tp t="s">
        <v/>
        <stp/>
        <stp>XICFH19-PLM</stp>
        <stp>High</stp>
        <tr r="D48" s="1"/>
      </tp>
      <tp t="s">
        <v/>
        <stp/>
        <stp>XICFM19-PLM</stp>
        <stp>High</stp>
        <tr r="D52" s="1"/>
      </tp>
      <tp t="s">
        <v/>
        <stp/>
        <stp>XICF012-PLM</stp>
        <stp>High</stp>
        <tr r="D44" s="1"/>
      </tp>
      <tp t="s">
        <v/>
        <stp/>
        <stp>XICF013-PLM</stp>
        <stp>High</stp>
        <tr r="D45" s="1"/>
      </tp>
      <tp t="s">
        <v/>
        <stp/>
        <stp>XICF010-PLM</stp>
        <stp>High</stp>
        <tr r="D42" s="1"/>
      </tp>
      <tp t="s">
        <v/>
        <stp/>
        <stp>XICF011-PLM</stp>
        <stp>High</stp>
        <tr r="D43" s="1"/>
      </tp>
      <tp t="s">
        <v/>
        <stp/>
        <stp>XICF016-PLM</stp>
        <stp>High</stp>
        <tr r="D46" s="1"/>
      </tp>
      <tp t="s">
        <v/>
        <stp/>
        <stp>ECF 14!-ICN</stp>
        <stp>High</stp>
        <tr r="D15" s="1"/>
      </tp>
      <tp t="s">
        <v/>
        <stp/>
        <stp>ECF 8!-ICN</stp>
        <stp>Low</stp>
        <tr r="E9" s="1"/>
      </tp>
      <tp>
        <v>72.569999999999993</v>
        <stp/>
        <stp>ECF 9!-ICN</stp>
        <stp>Low</stp>
        <tr r="E10" s="1"/>
      </tp>
      <tp t="s">
        <v/>
        <stp/>
        <stp>XICF008-PLM</stp>
        <stp>High</stp>
        <tr r="D40" s="1"/>
      </tp>
      <tp t="s">
        <v/>
        <stp/>
        <stp>XICF009-PLM</stp>
        <stp>High</stp>
        <tr r="D41" s="1"/>
      </tp>
      <tp t="s">
        <v/>
        <stp/>
        <stp>XICF002-PLM</stp>
        <stp>High</stp>
        <tr r="D34" s="1"/>
      </tp>
      <tp>
        <v>70.27</v>
        <stp/>
        <stp>ECF 1!-ICN</stp>
        <stp>Low</stp>
        <tr r="E2" s="1"/>
      </tp>
      <tp t="s">
        <v/>
        <stp/>
        <stp>XICF003-PLM</stp>
        <stp>High</stp>
        <tr r="D35" s="1"/>
      </tp>
      <tp t="s">
        <v/>
        <stp/>
        <stp>ECF 2!-ICN</stp>
        <stp>Low</stp>
        <tr r="E3" s="1"/>
      </tp>
      <tp t="s">
        <v/>
        <stp/>
        <stp>XICF000-PLM</stp>
        <stp>High</stp>
        <tr r="D32" s="1"/>
      </tp>
      <tp t="s">
        <v/>
        <stp/>
        <stp>ECF 3!-ICN</stp>
        <stp>Low</stp>
        <tr r="E4" s="1"/>
      </tp>
      <tp t="s">
        <v/>
        <stp/>
        <stp>XICF001-PLM</stp>
        <stp>High</stp>
        <tr r="D33" s="1"/>
      </tp>
      <tp>
        <v>70.650000000000006</v>
        <stp/>
        <stp>ECF 4!-ICN</stp>
        <stp>Low</stp>
        <tr r="E5" s="1"/>
      </tp>
      <tp t="s">
        <v/>
        <stp/>
        <stp>XICF006-PLM</stp>
        <stp>High</stp>
        <tr r="D38" s="1"/>
      </tp>
      <tp>
        <v>71.2</v>
        <stp/>
        <stp>ECF 5!-ICN</stp>
        <stp>Low</stp>
        <tr r="E6" s="1"/>
      </tp>
      <tp t="s">
        <v/>
        <stp/>
        <stp>XICF007-PLM</stp>
        <stp>High</stp>
        <tr r="D39" s="1"/>
      </tp>
      <tp t="s">
        <v/>
        <stp/>
        <stp>ECF 6!-ICN</stp>
        <stp>Low</stp>
        <tr r="E7" s="1"/>
      </tp>
      <tp t="s">
        <v/>
        <stp/>
        <stp>XICF004-PLM</stp>
        <stp>High</stp>
        <tr r="D36" s="1"/>
      </tp>
      <tp>
        <v>72.25</v>
        <stp/>
        <stp>ECF 7!-ICN</stp>
        <stp>Low</stp>
        <tr r="E8" s="1"/>
      </tp>
      <tp t="s">
        <v/>
        <stp/>
        <stp>XICF005-PLM</stp>
        <stp>High</stp>
        <tr r="D37" s="1"/>
      </tp>
      <tp t="s">
        <v/>
        <stp/>
        <stp>ECF 15!-ICN</stp>
        <stp>High</stp>
        <tr r="D16" s="1"/>
      </tp>
      <tp t="s">
        <v/>
        <stp/>
        <stp>ECF 13!:ECF14!-ICN</stp>
        <stp>High</stp>
        <tr r="D28" s="1"/>
      </tp>
      <tp t="s">
        <v/>
        <stp/>
        <stp>XICFU20-PLM</stp>
        <stp>High</stp>
        <tr r="D56" s="1"/>
      </tp>
      <tp t="s">
        <v/>
        <stp/>
        <stp>XICFZ20-PLM</stp>
        <stp>High</stp>
        <tr r="D59" s="1"/>
      </tp>
      <tp t="s">
        <v/>
        <stp/>
        <stp>XICFH20-PLM</stp>
        <stp>High</stp>
        <tr r="D49" s="1"/>
      </tp>
      <tp t="s">
        <v/>
        <stp/>
        <stp>XICFM20-PLM</stp>
        <stp>High</stp>
        <tr r="D53" s="1"/>
      </tp>
      <tp t="s">
        <v/>
        <stp/>
        <stp>XICFZ21-PLM</stp>
        <stp>High</stp>
        <tr r="D60" s="1"/>
      </tp>
      <tp t="s">
        <v/>
        <stp/>
        <stp>XICFH21-PLM</stp>
        <stp>High</stp>
        <tr r="D50" s="1"/>
      </tp>
      <tp t="s">
        <v/>
        <stp/>
        <stp>ECF 14!:ECF15!-ICN</stp>
        <stp>High</stp>
        <tr r="D29" s="1"/>
      </tp>
      <tp>
        <v>-2.0000000000000018E-2</v>
        <stp/>
        <stp>ECF 9!:ECF10!-ICN</stp>
        <stp>Change</stp>
        <tr r="C25" s="1"/>
      </tp>
      <tp t="s">
        <v/>
        <stp/>
        <stp>XICFU20-PLM</stp>
        <stp>Low</stp>
        <tr r="E56" s="1"/>
      </tp>
      <tp t="s">
        <v/>
        <stp/>
        <stp>XICFU18-PLM</stp>
        <stp>Low</stp>
        <tr r="E54" s="1"/>
      </tp>
      <tp t="s">
        <v/>
        <stp/>
        <stp>XICFU19-PLM</stp>
        <stp>Low</stp>
        <tr r="E55" s="1"/>
      </tp>
      <tp>
        <v>0</v>
        <stp/>
        <stp>ECF 8!-ICN</stp>
        <stp>Cumulative Volume</stp>
        <tr r="H9" s="1"/>
      </tp>
      <tp>
        <v>1315</v>
        <stp/>
        <stp>ECF 9!-ICN</stp>
        <stp>Cumulative Volume</stp>
        <tr r="H10" s="1"/>
      </tp>
      <tp>
        <v>0</v>
        <stp/>
        <stp>ECF 2!-ICN</stp>
        <stp>Cumulative Volume</stp>
        <tr r="H3" s="1"/>
      </tp>
      <tp>
        <v>0</v>
        <stp/>
        <stp>ECF 3!-ICN</stp>
        <stp>Cumulative Volume</stp>
        <tr r="H4" s="1"/>
      </tp>
      <tp>
        <v>450</v>
        <stp/>
        <stp>ECF 1!-ICN</stp>
        <stp>Cumulative Volume</stp>
        <tr r="H2" s="1"/>
      </tp>
      <tp>
        <v>0</v>
        <stp/>
        <stp>ECF 6!-ICN</stp>
        <stp>Cumulative Volume</stp>
        <tr r="H7" s="1"/>
      </tp>
      <tp>
        <v>466</v>
        <stp/>
        <stp>ECF 7!-ICN</stp>
        <stp>Cumulative Volume</stp>
        <tr r="H8" s="1"/>
      </tp>
      <tp>
        <v>13395</v>
        <stp/>
        <stp>ECF 4!-ICN</stp>
        <stp>Cumulative Volume</stp>
        <tr r="H5" s="1"/>
      </tp>
      <tp>
        <v>285</v>
        <stp/>
        <stp>ECF 5!-ICN</stp>
        <stp>Cumulative Volume</stp>
        <tr r="H6" s="1"/>
      </tp>
      <tp t="s">
        <v/>
        <stp/>
        <stp>XICFZ19-PLM</stp>
        <stp>Bid</stp>
        <tr r="F58" s="1"/>
      </tp>
      <tp t="s">
        <v/>
        <stp/>
        <stp>XICFZ18-PLM</stp>
        <stp>Bid</stp>
        <tr r="F57" s="1"/>
      </tp>
      <tp t="s">
        <v/>
        <stp/>
        <stp>XICFZ21-PLM</stp>
        <stp>Bid</stp>
        <tr r="F60" s="1"/>
      </tp>
      <tp t="s">
        <v/>
        <stp/>
        <stp>XICFZ20-PLM</stp>
        <stp>Bid</stp>
        <tr r="F59" s="1"/>
      </tp>
      <tp t="s">
        <v/>
        <stp/>
        <stp>XICFZ20-PLM</stp>
        <stp>Ask</stp>
        <tr r="G59" s="1"/>
      </tp>
      <tp t="s">
        <v/>
        <stp/>
        <stp>XICFZ21-PLM</stp>
        <stp>Ask</stp>
        <tr r="G60" s="1"/>
      </tp>
      <tp t="s">
        <v/>
        <stp/>
        <stp>XICFZ18-PLM</stp>
        <stp>Ask</stp>
        <tr r="G57" s="1"/>
      </tp>
      <tp t="s">
        <v/>
        <stp/>
        <stp>XICFZ19-PLM</stp>
        <stp>Ask</stp>
        <tr r="G58" s="1"/>
      </tp>
      <tp>
        <v>0</v>
        <stp/>
        <stp>ECFZ 1!-ICN</stp>
        <stp>Change</stp>
        <tr r="C30" s="1"/>
      </tp>
      <tp t="s">
        <v/>
        <stp/>
        <stp>ECFZ 2!-ICN</stp>
        <stp>Change</stp>
        <tr r="C31" s="1"/>
      </tp>
      <tp t="s">
        <v>ECFZ 25Z-ICN</v>
        <stp/>
        <stp>ECFZ 1!-ICN</stp>
        <stp>Symbol</stp>
        <tr r="A30" s="1"/>
      </tp>
      <tp t="s">
        <v>ECFZ 26Z-ICN</v>
        <stp/>
        <stp>ECFZ 2!-ICN</stp>
        <stp>Symbol</stp>
        <tr r="A31" s="1"/>
      </tp>
      <tp t="s">
        <v>ECF 26Z:ECF27H-ICN</v>
        <stp/>
        <stp>ECF 9!:ECF10!-ICN</stp>
        <stp>Symbol</stp>
        <tr r="A25" s="1"/>
      </tp>
      <tp>
        <v>25</v>
        <stp/>
        <stp>ECF 9!:ECF10!-ICN</stp>
        <stp>Cumulative Volume</stp>
        <tr r="H25" s="1"/>
      </tp>
      <tp t="s">
        <v/>
        <stp/>
        <stp>XICFU20-PLM</stp>
        <stp>Ask</stp>
        <tr r="G56" s="1"/>
      </tp>
      <tp t="s">
        <v/>
        <stp/>
        <stp>XICFU18-PLM</stp>
        <stp>Ask</stp>
        <tr r="G54" s="1"/>
      </tp>
      <tp t="s">
        <v/>
        <stp/>
        <stp>XICFU19-PLM</stp>
        <stp>Ask</stp>
        <tr r="G55" s="1"/>
      </tp>
      <tp t="s">
        <v/>
        <stp/>
        <stp>XICFU19-PLM</stp>
        <stp>Bid</stp>
        <tr r="F55" s="1"/>
      </tp>
      <tp t="s">
        <v/>
        <stp/>
        <stp>XICFU18-PLM</stp>
        <stp>Bid</stp>
        <tr r="F54" s="1"/>
      </tp>
      <tp t="s">
        <v/>
        <stp/>
        <stp>XICFU20-PLM</stp>
        <stp>Bid</stp>
        <tr r="F56" s="1"/>
      </tp>
      <tp t="s">
        <v/>
        <stp/>
        <stp>XICFZ20-PLM</stp>
        <stp>Low</stp>
        <tr r="E59" s="1"/>
      </tp>
      <tp t="s">
        <v/>
        <stp/>
        <stp>XICFZ21-PLM</stp>
        <stp>Low</stp>
        <tr r="E60" s="1"/>
      </tp>
      <tp t="s">
        <v/>
        <stp/>
        <stp>XICFZ18-PLM</stp>
        <stp>Low</stp>
        <tr r="E57" s="1"/>
      </tp>
      <tp t="s">
        <v/>
        <stp/>
        <stp>XICFZ19-PLM</stp>
        <stp>Low</stp>
        <tr r="E58" s="1"/>
      </tp>
      <tp t="s">
        <v/>
        <stp/>
        <stp>ECF 8!-ICN</stp>
        <stp>Change</stp>
        <tr r="C9" s="1"/>
      </tp>
      <tp>
        <v>-0.10999999999999943</v>
        <stp/>
        <stp>ECF 9!-ICN</stp>
        <stp>Change</stp>
        <tr r="C10" s="1"/>
      </tp>
      <tp t="s">
        <v/>
        <stp/>
        <stp>ECF 2!-ICN</stp>
        <stp>Change</stp>
        <tr r="C3" s="1"/>
      </tp>
      <tp t="s">
        <v/>
        <stp/>
        <stp>ECF 3!-ICN</stp>
        <stp>Change</stp>
        <tr r="C4" s="1"/>
      </tp>
      <tp>
        <v>-0.52000000000001023</v>
        <stp/>
        <stp>ECF 1!-ICN</stp>
        <stp>Change</stp>
        <tr r="C2" s="1"/>
      </tp>
      <tp t="s">
        <v/>
        <stp/>
        <stp>ECF 6!-ICN</stp>
        <stp>Change</stp>
        <tr r="C7" s="1"/>
      </tp>
      <tp>
        <v>-0.21999999999999886</v>
        <stp/>
        <stp>ECF 7!-ICN</stp>
        <stp>Change</stp>
        <tr r="C8" s="1"/>
      </tp>
      <tp>
        <v>-9.9999999999994316E-2</v>
        <stp/>
        <stp>ECF 4!-ICN</stp>
        <stp>Change</stp>
        <tr r="C5" s="1"/>
      </tp>
      <tp>
        <v>-0.46999999999999886</v>
        <stp/>
        <stp>ECF 5!-ICN</stp>
        <stp>Change</stp>
        <tr r="C6" s="1"/>
      </tp>
      <tp t="s">
        <v/>
        <stp/>
        <stp>XICFH20-PLM</stp>
        <stp>Ask</stp>
        <tr r="G49" s="1"/>
      </tp>
      <tp t="s">
        <v/>
        <stp/>
        <stp>XICFH21-PLM</stp>
        <stp>Ask</stp>
        <tr r="G50" s="1"/>
      </tp>
      <tp t="s">
        <v/>
        <stp/>
        <stp>XICFH18-PLM</stp>
        <stp>Ask</stp>
        <tr r="G47" s="1"/>
      </tp>
      <tp t="s">
        <v/>
        <stp/>
        <stp>XICFH19-PLM</stp>
        <stp>Ask</stp>
        <tr r="G48" s="1"/>
      </tp>
      <tp>
        <v>-0.52</v>
        <stp/>
        <stp>ECF 9!:ECF10!-ICN</stp>
        <stp>Recent Settlement</stp>
        <tr r="J25" s="1"/>
      </tp>
      <tp t="s">
        <v/>
        <stp/>
        <stp>XICFH19-PLM</stp>
        <stp>Bid</stp>
        <tr r="F48" s="1"/>
      </tp>
      <tp t="s">
        <v/>
        <stp/>
        <stp>XICFH18-PLM</stp>
        <stp>Bid</stp>
        <tr r="F47" s="1"/>
      </tp>
      <tp t="s">
        <v/>
        <stp/>
        <stp>XICFH21-PLM</stp>
        <stp>Bid</stp>
        <tr r="F50" s="1"/>
      </tp>
      <tp t="s">
        <v/>
        <stp/>
        <stp>XICFH20-PLM</stp>
        <stp>Bid</stp>
        <tr r="F49" s="1"/>
      </tp>
      <tp t="s">
        <v/>
        <stp/>
        <stp>XICFM20-PLM</stp>
        <stp>Ask</stp>
        <tr r="G53" s="1"/>
      </tp>
      <tp t="s">
        <v/>
        <stp/>
        <stp>XICFM18-PLM</stp>
        <stp>Ask</stp>
        <tr r="G51" s="1"/>
      </tp>
      <tp t="s">
        <v/>
        <stp/>
        <stp>XICFM19-PLM</stp>
        <stp>Ask</stp>
        <tr r="G52" s="1"/>
      </tp>
      <tp t="s">
        <v>XICFM18-PLM</v>
        <stp/>
        <stp>XICFM18-PLM</stp>
        <stp>Symbol</stp>
        <tr r="A51" s="1"/>
      </tp>
      <tp t="s">
        <v>XICFM19-PLM</v>
        <stp/>
        <stp>XICFM19-PLM</stp>
        <stp>Symbol</stp>
        <tr r="A52" s="1"/>
      </tp>
      <tp t="s">
        <v>XICFM20-PLM</v>
        <stp/>
        <stp>XICFM20-PLM</stp>
        <stp>Symbol</stp>
        <tr r="A53" s="1"/>
      </tp>
      <tp t="s">
        <v>XICFH18-PLM</v>
        <stp/>
        <stp>XICFH18-PLM</stp>
        <stp>Symbol</stp>
        <tr r="A47" s="1"/>
      </tp>
      <tp t="s">
        <v>XICFH19-PLM</v>
        <stp/>
        <stp>XICFH19-PLM</stp>
        <stp>Symbol</stp>
        <tr r="A48" s="1"/>
      </tp>
      <tp t="s">
        <v>XICFH20-PLM</v>
        <stp/>
        <stp>XICFH20-PLM</stp>
        <stp>Symbol</stp>
        <tr r="A49" s="1"/>
      </tp>
      <tp t="s">
        <v>XICFH21-PLM</v>
        <stp/>
        <stp>XICFH21-PLM</stp>
        <stp>Symbol</stp>
        <tr r="A50" s="1"/>
      </tp>
      <tp t="s">
        <v>XICFU18-PLM</v>
        <stp/>
        <stp>XICFU18-PLM</stp>
        <stp>Symbol</stp>
        <tr r="A54" s="1"/>
      </tp>
      <tp t="s">
        <v>XICFU19-PLM</v>
        <stp/>
        <stp>XICFU19-PLM</stp>
        <stp>Symbol</stp>
        <tr r="A55" s="1"/>
      </tp>
      <tp t="s">
        <v>XICFU20-PLM</v>
        <stp/>
        <stp>XICFU20-PLM</stp>
        <stp>Symbol</stp>
        <tr r="A56" s="1"/>
      </tp>
      <tp t="s">
        <v>XICFZ18-PLM</v>
        <stp/>
        <stp>XICFZ18-PLM</stp>
        <stp>Symbol</stp>
        <tr r="A57" s="1"/>
      </tp>
      <tp t="s">
        <v>XICFZ19-PLM</v>
        <stp/>
        <stp>XICFZ19-PLM</stp>
        <stp>Symbol</stp>
        <tr r="A58" s="1"/>
      </tp>
      <tp t="s">
        <v>XICFZ20-PLM</v>
        <stp/>
        <stp>XICFZ20-PLM</stp>
        <stp>Symbol</stp>
        <tr r="A59" s="1"/>
      </tp>
      <tp t="s">
        <v>XICFZ21-PLM</v>
        <stp/>
        <stp>XICFZ21-PLM</stp>
        <stp>Symbol</stp>
        <tr r="A60" s="1"/>
      </tp>
      <tp t="s">
        <v/>
        <stp/>
        <stp>XICFM19-PLM</stp>
        <stp>Bid</stp>
        <tr r="F52" s="1"/>
      </tp>
      <tp t="s">
        <v/>
        <stp/>
        <stp>XICFM18-PLM</stp>
        <stp>Bid</stp>
        <tr r="F51" s="1"/>
      </tp>
      <tp t="s">
        <v/>
        <stp/>
        <stp>XICFM20-PLM</stp>
        <stp>Bid</stp>
        <tr r="F53" s="1"/>
      </tp>
      <tp t="s">
        <v>XICF010-PLM</v>
        <stp/>
        <stp>XICF010-PLM</stp>
        <stp>Symbol</stp>
        <tr r="A42" s="1"/>
      </tp>
      <tp t="s">
        <v>XICF011-PLM</v>
        <stp/>
        <stp>XICF011-PLM</stp>
        <stp>Symbol</stp>
        <tr r="A43" s="1"/>
      </tp>
      <tp t="s">
        <v>XICF012-PLM</v>
        <stp/>
        <stp>XICF012-PLM</stp>
        <stp>Symbol</stp>
        <tr r="A44" s="1"/>
      </tp>
      <tp t="s">
        <v>XICF013-PLM</v>
        <stp/>
        <stp>XICF013-PLM</stp>
        <stp>Symbol</stp>
        <tr r="A45" s="1"/>
      </tp>
      <tp t="s">
        <v>XICF016-PLM</v>
        <stp/>
        <stp>XICF016-PLM</stp>
        <stp>Symbol</stp>
        <tr r="A46" s="1"/>
      </tp>
      <tp t="s">
        <v>XICF000-PLM</v>
        <stp/>
        <stp>XICF000-PLM</stp>
        <stp>Symbol</stp>
        <tr r="A32" s="1"/>
      </tp>
      <tp t="s">
        <v>XICF001-PLM</v>
        <stp/>
        <stp>XICF001-PLM</stp>
        <stp>Symbol</stp>
        <tr r="A33" s="1"/>
      </tp>
      <tp t="s">
        <v>XICF002-PLM</v>
        <stp/>
        <stp>XICF002-PLM</stp>
        <stp>Symbol</stp>
        <tr r="A34" s="1"/>
      </tp>
      <tp t="s">
        <v>XICF003-PLM</v>
        <stp/>
        <stp>XICF003-PLM</stp>
        <stp>Symbol</stp>
        <tr r="A35" s="1"/>
      </tp>
      <tp t="s">
        <v>XICF004-PLM</v>
        <stp/>
        <stp>XICF004-PLM</stp>
        <stp>Symbol</stp>
        <tr r="A36" s="1"/>
      </tp>
      <tp t="s">
        <v>XICF005-PLM</v>
        <stp/>
        <stp>XICF005-PLM</stp>
        <stp>Symbol</stp>
        <tr r="A37" s="1"/>
      </tp>
      <tp t="s">
        <v>XICF006-PLM</v>
        <stp/>
        <stp>XICF006-PLM</stp>
        <stp>Symbol</stp>
        <tr r="A38" s="1"/>
      </tp>
      <tp t="s">
        <v>XICF007-PLM</v>
        <stp/>
        <stp>XICF007-PLM</stp>
        <stp>Symbol</stp>
        <tr r="A39" s="1"/>
      </tp>
      <tp t="s">
        <v>XICF008-PLM</v>
        <stp/>
        <stp>XICF008-PLM</stp>
        <stp>Symbol</stp>
        <tr r="A40" s="1"/>
      </tp>
      <tp t="s">
        <v>XICF009-PLM</v>
        <stp/>
        <stp>XICF009-PLM</stp>
        <stp>Symbol</stp>
        <tr r="A41" s="1"/>
      </tp>
      <tp t="s">
        <v/>
        <stp/>
        <stp>XICFM20-PLM</stp>
        <stp>Low</stp>
        <tr r="E53" s="1"/>
      </tp>
      <tp t="s">
        <v/>
        <stp/>
        <stp>XICFM18-PLM</stp>
        <stp>Low</stp>
        <tr r="E51" s="1"/>
      </tp>
      <tp t="s">
        <v/>
        <stp/>
        <stp>XICFM19-PLM</stp>
        <stp>Low</stp>
        <tr r="E52" s="1"/>
      </tp>
      <tp t="s">
        <v/>
        <stp/>
        <stp>XICFZ18-PLM</stp>
        <stp>Change</stp>
        <tr r="C57" s="1"/>
      </tp>
      <tp t="s">
        <v/>
        <stp/>
        <stp>XICFZ19-PLM</stp>
        <stp>Change</stp>
        <tr r="C58" s="1"/>
      </tp>
      <tp t="s">
        <v/>
        <stp/>
        <stp>XICFZ20-PLM</stp>
        <stp>Change</stp>
        <tr r="C59" s="1"/>
      </tp>
      <tp t="s">
        <v/>
        <stp/>
        <stp>XICFZ21-PLM</stp>
        <stp>Change</stp>
        <tr r="C60" s="1"/>
      </tp>
      <tp t="s">
        <v/>
        <stp/>
        <stp>XICFU18-PLM</stp>
        <stp>Change</stp>
        <tr r="C54" s="1"/>
      </tp>
      <tp t="s">
        <v/>
        <stp/>
        <stp>XICFU19-PLM</stp>
        <stp>Change</stp>
        <tr r="C55" s="1"/>
      </tp>
      <tp t="s">
        <v/>
        <stp/>
        <stp>XICFU20-PLM</stp>
        <stp>Change</stp>
        <tr r="C56" s="1"/>
      </tp>
      <tp t="s">
        <v/>
        <stp/>
        <stp>XICFM18-PLM</stp>
        <stp>Change</stp>
        <tr r="C51" s="1"/>
      </tp>
      <tp t="s">
        <v/>
        <stp/>
        <stp>XICFM19-PLM</stp>
        <stp>Change</stp>
        <tr r="C52" s="1"/>
      </tp>
      <tp t="s">
        <v/>
        <stp/>
        <stp>XICFM20-PLM</stp>
        <stp>Change</stp>
        <tr r="C53" s="1"/>
      </tp>
      <tp t="s">
        <v/>
        <stp/>
        <stp>XICFH18-PLM</stp>
        <stp>Change</stp>
        <tr r="C47" s="1"/>
      </tp>
      <tp t="s">
        <v/>
        <stp/>
        <stp>XICFH19-PLM</stp>
        <stp>Change</stp>
        <tr r="C48" s="1"/>
      </tp>
      <tp t="s">
        <v/>
        <stp/>
        <stp>XICFH20-PLM</stp>
        <stp>Change</stp>
        <tr r="C49" s="1"/>
      </tp>
      <tp t="s">
        <v/>
        <stp/>
        <stp>XICFH21-PLM</stp>
        <stp>Change</stp>
        <tr r="C50" s="1"/>
      </tp>
      <tp t="s">
        <v/>
        <stp/>
        <stp>XICF016-PLM</stp>
        <stp>Change</stp>
        <tr r="C46" s="1"/>
      </tp>
      <tp t="s">
        <v/>
        <stp/>
        <stp>XICF010-PLM</stp>
        <stp>Change</stp>
        <tr r="C42" s="1"/>
      </tp>
      <tp t="s">
        <v/>
        <stp/>
        <stp>XICF011-PLM</stp>
        <stp>Change</stp>
        <tr r="C43" s="1"/>
      </tp>
      <tp t="s">
        <v/>
        <stp/>
        <stp>XICF012-PLM</stp>
        <stp>Change</stp>
        <tr r="C44" s="1"/>
      </tp>
      <tp t="s">
        <v/>
        <stp/>
        <stp>XICF013-PLM</stp>
        <stp>Change</stp>
        <tr r="C45" s="1"/>
      </tp>
      <tp t="s">
        <v/>
        <stp/>
        <stp>XICF008-PLM</stp>
        <stp>Change</stp>
        <tr r="C40" s="1"/>
      </tp>
      <tp t="s">
        <v/>
        <stp/>
        <stp>XICF009-PLM</stp>
        <stp>Change</stp>
        <tr r="C41" s="1"/>
      </tp>
      <tp t="s">
        <v/>
        <stp/>
        <stp>XICF004-PLM</stp>
        <stp>Change</stp>
        <tr r="C36" s="1"/>
      </tp>
      <tp t="s">
        <v/>
        <stp/>
        <stp>XICF005-PLM</stp>
        <stp>Change</stp>
        <tr r="C37" s="1"/>
      </tp>
      <tp t="s">
        <v/>
        <stp/>
        <stp>XICF006-PLM</stp>
        <stp>Change</stp>
        <tr r="C38" s="1"/>
      </tp>
      <tp t="s">
        <v/>
        <stp/>
        <stp>XICF007-PLM</stp>
        <stp>Change</stp>
        <tr r="C39" s="1"/>
      </tp>
      <tp t="s">
        <v/>
        <stp/>
        <stp>XICF000-PLM</stp>
        <stp>Change</stp>
        <tr r="C32" s="1"/>
      </tp>
      <tp t="s">
        <v/>
        <stp/>
        <stp>XICF001-PLM</stp>
        <stp>Change</stp>
        <tr r="C33" s="1"/>
      </tp>
      <tp t="s">
        <v/>
        <stp/>
        <stp>XICF002-PLM</stp>
        <stp>Change</stp>
        <tr r="C34" s="1"/>
      </tp>
      <tp t="s">
        <v/>
        <stp/>
        <stp>XICF003-PLM</stp>
        <stp>Change</stp>
        <tr r="C35" s="1"/>
      </tp>
      <tp t="s">
        <v>ECF 25V-ICN</v>
        <stp/>
        <stp>ECF 2!-ICN</stp>
        <stp>Symbol</stp>
        <tr r="A3" s="1"/>
      </tp>
      <tp t="s">
        <v>ECF 25X-ICN</v>
        <stp/>
        <stp>ECF 3!-ICN</stp>
        <stp>Symbol</stp>
        <tr r="A4" s="1"/>
      </tp>
      <tp t="s">
        <v>ECF 25U-ICN</v>
        <stp/>
        <stp>ECF 1!-ICN</stp>
        <stp>Symbol</stp>
        <tr r="A2" s="1"/>
      </tp>
      <tp t="s">
        <v>ECF 26M-ICN</v>
        <stp/>
        <stp>ECF 6!-ICN</stp>
        <stp>Symbol</stp>
        <tr r="A7" s="1"/>
      </tp>
      <tp t="s">
        <v>ECF 26Q-ICN</v>
        <stp/>
        <stp>ECF 7!-ICN</stp>
        <stp>Symbol</stp>
        <tr r="A8" s="1"/>
      </tp>
      <tp t="s">
        <v>ECF 25Z-ICN</v>
        <stp/>
        <stp>ECF 4!-ICN</stp>
        <stp>Symbol</stp>
        <tr r="A5" s="1"/>
      </tp>
      <tp t="s">
        <v>ECF 26H-ICN</v>
        <stp/>
        <stp>ECF 5!-ICN</stp>
        <stp>Symbol</stp>
        <tr r="A6" s="1"/>
      </tp>
      <tp t="s">
        <v>ECF 26U-ICN</v>
        <stp/>
        <stp>ECF 8!-ICN</stp>
        <stp>Symbol</stp>
        <tr r="A9" s="1"/>
      </tp>
      <tp t="s">
        <v>ECF 26Z-ICN</v>
        <stp/>
        <stp>ECF 9!-ICN</stp>
        <stp>Symbol</stp>
        <tr r="A10" s="1"/>
      </tp>
    </main>
    <main first="esrtd">
      <tp t="s">
        <v/>
        <stp/>
        <stp>XICFH20-PLM</stp>
        <stp>Low</stp>
        <tr r="E49" s="1"/>
      </tp>
      <tp t="s">
        <v/>
        <stp/>
        <stp>XICFH21-PLM</stp>
        <stp>Low</stp>
        <tr r="E50" s="1"/>
      </tp>
      <tp t="s">
        <v/>
        <stp/>
        <stp>XICFH18-PLM</stp>
        <stp>Low</stp>
        <tr r="E47" s="1"/>
      </tp>
      <tp t="s">
        <v/>
        <stp/>
        <stp>XICFH19-PLM</stp>
        <stp>Low</stp>
        <tr r="E48" s="1"/>
      </tp>
      <tp>
        <v>73.08</v>
        <stp/>
        <stp>ECF 9!-ICN</stp>
        <stp>Recent Settlement</stp>
        <tr r="J10" s="1"/>
      </tp>
      <tp>
        <v>72.66</v>
        <stp/>
        <stp>ECF 8!-ICN</stp>
        <stp>Recent Settlement</stp>
        <tr r="J9" s="1"/>
      </tp>
      <tp>
        <v>72.47</v>
        <stp/>
        <stp>ECF 7!-ICN</stp>
        <stp>Recent Settlement</stp>
        <tr r="J8" s="1"/>
      </tp>
      <tp>
        <v>72.180000000000007</v>
        <stp/>
        <stp>ECF 6!-ICN</stp>
        <stp>Recent Settlement</stp>
        <tr r="J7" s="1"/>
      </tp>
      <tp>
        <v>71.67</v>
        <stp/>
        <stp>ECF 5!-ICN</stp>
        <stp>Recent Settlement</stp>
        <tr r="J6" s="1"/>
      </tp>
      <tp>
        <v>71.16</v>
        <stp/>
        <stp>ECF 4!-ICN</stp>
        <stp>Recent Settlement</stp>
        <tr r="J5" s="1"/>
      </tp>
      <tp>
        <v>71.05</v>
        <stp/>
        <stp>ECF 3!-ICN</stp>
        <stp>Recent Settlement</stp>
        <tr r="J4" s="1"/>
      </tp>
      <tp>
        <v>70.92</v>
        <stp/>
        <stp>ECF 2!-ICN</stp>
        <stp>Recent Settlement</stp>
        <tr r="J3" s="1"/>
      </tp>
      <tp>
        <v>70.790000000000006</v>
        <stp/>
        <stp>ECF 1!-ICN</stp>
        <stp>Recent Settlement</stp>
        <tr r="J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DF7EF-98B5-4C73-97B4-CE8D46955EE6}">
  <dimension ref="A1:J60"/>
  <sheetViews>
    <sheetView workbookViewId="0">
      <selection activeCell="M16" sqref="M16"/>
    </sheetView>
  </sheetViews>
  <sheetFormatPr defaultRowHeight="15" x14ac:dyDescent="0.25"/>
  <cols>
    <col min="1" max="1" width="14.85546875" customWidth="1"/>
    <col min="10" max="10" width="16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tr">
        <f>RTD("esrtd",,"ECF 1!-ICN","Symbol")</f>
        <v>ECF 25U-ICN</v>
      </c>
      <c r="B2">
        <f>RTD("esrtd",,"ECF 1!-ICN","Last")</f>
        <v>70.27</v>
      </c>
      <c r="C2">
        <f>RTD("esrtd",,"ECF 1!-ICN","Change")</f>
        <v>-0.52000000000001023</v>
      </c>
      <c r="D2">
        <f>RTD("esrtd",,"ECF 1!-ICN","High")</f>
        <v>70.95</v>
      </c>
      <c r="E2">
        <f>RTD("esrtd",,"ECF 1!-ICN","Low")</f>
        <v>70.27</v>
      </c>
      <c r="F2">
        <f>RTD("esrtd",,"ECF 1!-ICN","Bid")</f>
        <v>70.67</v>
      </c>
      <c r="G2">
        <f>RTD("esrtd",,"ECF 1!-ICN","Ask")</f>
        <v>70.709999999999994</v>
      </c>
      <c r="H2">
        <f>RTD("esrtd",,"ECF 1!-ICN","Cumulative Volume")</f>
        <v>450</v>
      </c>
      <c r="I2">
        <f>RTD("esrtd",,"ECF 1!-ICN","Open Interest")</f>
        <v>55159</v>
      </c>
      <c r="J2">
        <f>RTD("esrtd",,"ECF 1!-ICN","Recent Settlement")</f>
        <v>70.790000000000006</v>
      </c>
    </row>
    <row r="3" spans="1:10" x14ac:dyDescent="0.25">
      <c r="A3" t="str">
        <f>RTD("esrtd",,"ECF 2!-ICN","Symbol")</f>
        <v>ECF 25V-ICN</v>
      </c>
      <c r="B3" t="str">
        <f>RTD("esrtd",,"ECF 2!-ICN","Last")</f>
        <v/>
      </c>
      <c r="C3" t="str">
        <f>RTD("esrtd",,"ECF 2!-ICN","Change")</f>
        <v/>
      </c>
      <c r="D3" t="str">
        <f>RTD("esrtd",,"ECF 2!-ICN","High")</f>
        <v/>
      </c>
      <c r="E3" t="str">
        <f>RTD("esrtd",,"ECF 2!-ICN","Low")</f>
        <v/>
      </c>
      <c r="F3">
        <f>RTD("esrtd",,"ECF 2!-ICN","Bid")</f>
        <v>70.8</v>
      </c>
      <c r="G3">
        <f>RTD("esrtd",,"ECF 2!-ICN","Ask")</f>
        <v>70.84</v>
      </c>
      <c r="H3">
        <f>RTD("esrtd",,"ECF 2!-ICN","Cumulative Volume")</f>
        <v>0</v>
      </c>
      <c r="I3">
        <f>RTD("esrtd",,"ECF 2!-ICN","Open Interest")</f>
        <v>7921</v>
      </c>
      <c r="J3">
        <f>RTD("esrtd",,"ECF 2!-ICN","Recent Settlement")</f>
        <v>70.92</v>
      </c>
    </row>
    <row r="4" spans="1:10" x14ac:dyDescent="0.25">
      <c r="A4" t="str">
        <f>RTD("esrtd",,"ECF 3!-ICN","Symbol")</f>
        <v>ECF 25X-ICN</v>
      </c>
      <c r="B4" t="str">
        <f>RTD("esrtd",,"ECF 3!-ICN","Last")</f>
        <v/>
      </c>
      <c r="C4" t="str">
        <f>RTD("esrtd",,"ECF 3!-ICN","Change")</f>
        <v/>
      </c>
      <c r="D4" t="str">
        <f>RTD("esrtd",,"ECF 3!-ICN","High")</f>
        <v/>
      </c>
      <c r="E4" t="str">
        <f>RTD("esrtd",,"ECF 3!-ICN","Low")</f>
        <v/>
      </c>
      <c r="F4">
        <f>RTD("esrtd",,"ECF 3!-ICN","Bid")</f>
        <v>70.930000000000007</v>
      </c>
      <c r="G4">
        <f>RTD("esrtd",,"ECF 3!-ICN","Ask")</f>
        <v>70.989999999999995</v>
      </c>
      <c r="H4">
        <f>RTD("esrtd",,"ECF 3!-ICN","Cumulative Volume")</f>
        <v>0</v>
      </c>
      <c r="I4">
        <f>RTD("esrtd",,"ECF 3!-ICN","Open Interest")</f>
        <v>3138</v>
      </c>
      <c r="J4">
        <f>RTD("esrtd",,"ECF 3!-ICN","Recent Settlement")</f>
        <v>71.05</v>
      </c>
    </row>
    <row r="5" spans="1:10" x14ac:dyDescent="0.25">
      <c r="A5" t="str">
        <f>RTD("esrtd",,"ECF 4!-ICN","Symbol")</f>
        <v>ECF 25Z-ICN</v>
      </c>
      <c r="B5">
        <f>RTD("esrtd",,"ECF 4!-ICN","Last")</f>
        <v>71.06</v>
      </c>
      <c r="C5">
        <f>RTD("esrtd",,"ECF 4!-ICN","Change")</f>
        <v>-9.9999999999994316E-2</v>
      </c>
      <c r="D5">
        <f>RTD("esrtd",,"ECF 4!-ICN","High")</f>
        <v>71.540000000000006</v>
      </c>
      <c r="E5">
        <f>RTD("esrtd",,"ECF 4!-ICN","Low")</f>
        <v>70.650000000000006</v>
      </c>
      <c r="F5">
        <f>RTD("esrtd",,"ECF 4!-ICN","Bid")</f>
        <v>71.06</v>
      </c>
      <c r="G5">
        <f>RTD("esrtd",,"ECF 4!-ICN","Ask")</f>
        <v>71.08</v>
      </c>
      <c r="H5">
        <f>RTD("esrtd",,"ECF 4!-ICN","Cumulative Volume")</f>
        <v>13395</v>
      </c>
      <c r="I5">
        <f>RTD("esrtd",,"ECF 4!-ICN","Open Interest")</f>
        <v>335216</v>
      </c>
      <c r="J5">
        <f>RTD("esrtd",,"ECF 4!-ICN","Recent Settlement")</f>
        <v>71.16</v>
      </c>
    </row>
    <row r="6" spans="1:10" x14ac:dyDescent="0.25">
      <c r="A6" t="str">
        <f>RTD("esrtd",,"ECF 5!-ICN","Symbol")</f>
        <v>ECF 26H-ICN</v>
      </c>
      <c r="B6">
        <f>RTD("esrtd",,"ECF 5!-ICN","Last")</f>
        <v>71.2</v>
      </c>
      <c r="C6">
        <f>RTD("esrtd",,"ECF 5!-ICN","Change")</f>
        <v>-0.46999999999999886</v>
      </c>
      <c r="D6">
        <f>RTD("esrtd",,"ECF 5!-ICN","High")</f>
        <v>71.650000000000006</v>
      </c>
      <c r="E6">
        <f>RTD("esrtd",,"ECF 5!-ICN","Low")</f>
        <v>71.2</v>
      </c>
      <c r="F6">
        <f>RTD("esrtd",,"ECF 5!-ICN","Bid")</f>
        <v>71.56</v>
      </c>
      <c r="G6">
        <f>RTD("esrtd",,"ECF 5!-ICN","Ask")</f>
        <v>71.59</v>
      </c>
      <c r="H6">
        <f>RTD("esrtd",,"ECF 5!-ICN","Cumulative Volume")</f>
        <v>285</v>
      </c>
      <c r="I6">
        <f>RTD("esrtd",,"ECF 5!-ICN","Open Interest")</f>
        <v>32675</v>
      </c>
      <c r="J6">
        <f>RTD("esrtd",,"ECF 5!-ICN","Recent Settlement")</f>
        <v>71.67</v>
      </c>
    </row>
    <row r="7" spans="1:10" x14ac:dyDescent="0.25">
      <c r="A7" t="str">
        <f>RTD("esrtd",,"ECF 6!-ICN","Symbol")</f>
        <v>ECF 26M-ICN</v>
      </c>
      <c r="B7" t="str">
        <f>RTD("esrtd",,"ECF 6!-ICN","Last")</f>
        <v/>
      </c>
      <c r="C7" t="str">
        <f>RTD("esrtd",,"ECF 6!-ICN","Change")</f>
        <v/>
      </c>
      <c r="D7" t="str">
        <f>RTD("esrtd",,"ECF 6!-ICN","High")</f>
        <v/>
      </c>
      <c r="E7" t="str">
        <f>RTD("esrtd",,"ECF 6!-ICN","Low")</f>
        <v/>
      </c>
      <c r="F7">
        <f>RTD("esrtd",,"ECF 6!-ICN","Bid")</f>
        <v>72.010000000000005</v>
      </c>
      <c r="G7">
        <f>RTD("esrtd",,"ECF 6!-ICN","Ask")</f>
        <v>72.13</v>
      </c>
      <c r="H7">
        <f>RTD("esrtd",,"ECF 6!-ICN","Cumulative Volume")</f>
        <v>0</v>
      </c>
      <c r="I7">
        <f>RTD("esrtd",,"ECF 6!-ICN","Open Interest")</f>
        <v>820</v>
      </c>
      <c r="J7">
        <f>RTD("esrtd",,"ECF 6!-ICN","Recent Settlement")</f>
        <v>72.180000000000007</v>
      </c>
    </row>
    <row r="8" spans="1:10" x14ac:dyDescent="0.25">
      <c r="A8" t="str">
        <f>RTD("esrtd",,"ECF 7!-ICN","Symbol")</f>
        <v>ECF 26Q-ICN</v>
      </c>
      <c r="B8">
        <f>RTD("esrtd",,"ECF 7!-ICN","Last")</f>
        <v>72.25</v>
      </c>
      <c r="C8">
        <f>RTD("esrtd",,"ECF 7!-ICN","Change")</f>
        <v>-0.21999999999999886</v>
      </c>
      <c r="D8">
        <f>RTD("esrtd",,"ECF 7!-ICN","High")</f>
        <v>72.25</v>
      </c>
      <c r="E8">
        <f>RTD("esrtd",,"ECF 7!-ICN","Low")</f>
        <v>72.25</v>
      </c>
      <c r="F8">
        <f>RTD("esrtd",,"ECF 7!-ICN","Bid")</f>
        <v>72.36</v>
      </c>
      <c r="G8">
        <f>RTD("esrtd",,"ECF 7!-ICN","Ask")</f>
        <v>72.41</v>
      </c>
      <c r="H8">
        <f>RTD("esrtd",,"ECF 7!-ICN","Cumulative Volume")</f>
        <v>466</v>
      </c>
      <c r="I8">
        <f>RTD("esrtd",,"ECF 7!-ICN","Open Interest")</f>
        <v>16112</v>
      </c>
      <c r="J8">
        <f>RTD("esrtd",,"ECF 7!-ICN","Recent Settlement")</f>
        <v>72.47</v>
      </c>
    </row>
    <row r="9" spans="1:10" x14ac:dyDescent="0.25">
      <c r="A9" t="str">
        <f>RTD("esrtd",,"ECF 8!-ICN","Symbol")</f>
        <v>ECF 26U-ICN</v>
      </c>
      <c r="B9" t="str">
        <f>RTD("esrtd",,"ECF 8!-ICN","Last")</f>
        <v/>
      </c>
      <c r="C9" t="str">
        <f>RTD("esrtd",,"ECF 8!-ICN","Change")</f>
        <v/>
      </c>
      <c r="D9" t="str">
        <f>RTD("esrtd",,"ECF 8!-ICN","High")</f>
        <v/>
      </c>
      <c r="E9" t="str">
        <f>RTD("esrtd",,"ECF 8!-ICN","Low")</f>
        <v/>
      </c>
      <c r="F9">
        <f>RTD("esrtd",,"ECF 8!-ICN","Bid")</f>
        <v>72.5</v>
      </c>
      <c r="G9">
        <f>RTD("esrtd",,"ECF 8!-ICN","Ask")</f>
        <v>72.64</v>
      </c>
      <c r="H9">
        <f>RTD("esrtd",,"ECF 8!-ICN","Cumulative Volume")</f>
        <v>0</v>
      </c>
      <c r="I9">
        <f>RTD("esrtd",,"ECF 8!-ICN","Open Interest")</f>
        <v>800</v>
      </c>
      <c r="J9">
        <f>RTD("esrtd",,"ECF 8!-ICN","Recent Settlement")</f>
        <v>72.66</v>
      </c>
    </row>
    <row r="10" spans="1:10" x14ac:dyDescent="0.25">
      <c r="A10" t="str">
        <f>RTD("esrtd",,"ECF 9!-ICN","Symbol")</f>
        <v>ECF 26Z-ICN</v>
      </c>
      <c r="B10">
        <f>RTD("esrtd",,"ECF 9!-ICN","Last")</f>
        <v>72.97</v>
      </c>
      <c r="C10">
        <f>RTD("esrtd",,"ECF 9!-ICN","Change")</f>
        <v>-0.10999999999999943</v>
      </c>
      <c r="D10">
        <f>RTD("esrtd",,"ECF 9!-ICN","High")</f>
        <v>73.41</v>
      </c>
      <c r="E10">
        <f>RTD("esrtd",,"ECF 9!-ICN","Low")</f>
        <v>72.569999999999993</v>
      </c>
      <c r="F10">
        <f>RTD("esrtd",,"ECF 9!-ICN","Bid")</f>
        <v>72.959999999999994</v>
      </c>
      <c r="G10">
        <f>RTD("esrtd",,"ECF 9!-ICN","Ask")</f>
        <v>73</v>
      </c>
      <c r="H10">
        <f>RTD("esrtd",,"ECF 9!-ICN","Cumulative Volume")</f>
        <v>1315</v>
      </c>
      <c r="I10">
        <f>RTD("esrtd",,"ECF 9!-ICN","Open Interest")</f>
        <v>166986</v>
      </c>
      <c r="J10">
        <f>RTD("esrtd",,"ECF 9!-ICN","Recent Settlement")</f>
        <v>73.08</v>
      </c>
    </row>
    <row r="11" spans="1:10" x14ac:dyDescent="0.25">
      <c r="A11" t="str">
        <f>RTD("esrtd",,"ECF 10!-ICN","Symbol")</f>
        <v>ECF 27H-ICN</v>
      </c>
      <c r="B11">
        <f>RTD("esrtd",,"ECF 10!-ICN","Last")</f>
        <v>73.400000000000006</v>
      </c>
      <c r="C11">
        <f>RTD("esrtd",,"ECF 10!-ICN","Change")</f>
        <v>-0.19999999999998863</v>
      </c>
      <c r="D11">
        <f>RTD("esrtd",,"ECF 10!-ICN","High")</f>
        <v>73.5</v>
      </c>
      <c r="E11">
        <f>RTD("esrtd",,"ECF 10!-ICN","Low")</f>
        <v>73.400000000000006</v>
      </c>
      <c r="F11">
        <f>RTD("esrtd",,"ECF 10!-ICN","Bid")</f>
        <v>73.47</v>
      </c>
      <c r="G11">
        <f>RTD("esrtd",,"ECF 10!-ICN","Ask")</f>
        <v>73.540000000000006</v>
      </c>
      <c r="H11">
        <f>RTD("esrtd",,"ECF 10!-ICN","Cumulative Volume")</f>
        <v>25</v>
      </c>
      <c r="I11">
        <f>RTD("esrtd",,"ECF 10!-ICN","Open Interest")</f>
        <v>664</v>
      </c>
      <c r="J11">
        <f>RTD("esrtd",,"ECF 10!-ICN","Recent Settlement")</f>
        <v>73.599999999999994</v>
      </c>
    </row>
    <row r="12" spans="1:10" x14ac:dyDescent="0.25">
      <c r="A12" t="str">
        <f>RTD("esrtd",,"ECF 11!-ICN","Symbol")</f>
        <v>ECF 27M-ICN</v>
      </c>
      <c r="B12" t="str">
        <f>RTD("esrtd",,"ECF 11!-ICN","Last")</f>
        <v/>
      </c>
      <c r="C12" t="str">
        <f>RTD("esrtd",,"ECF 11!-ICN","Change")</f>
        <v/>
      </c>
      <c r="D12" t="str">
        <f>RTD("esrtd",,"ECF 11!-ICN","High")</f>
        <v/>
      </c>
      <c r="E12" t="str">
        <f>RTD("esrtd",,"ECF 11!-ICN","Low")</f>
        <v/>
      </c>
      <c r="F12" t="str">
        <f>RTD("esrtd",,"ECF 11!-ICN","Bid")</f>
        <v/>
      </c>
      <c r="G12" t="str">
        <f>RTD("esrtd",,"ECF 11!-ICN","Ask")</f>
        <v/>
      </c>
      <c r="H12">
        <f>RTD("esrtd",,"ECF 11!-ICN","Cumulative Volume")</f>
        <v>0</v>
      </c>
      <c r="I12" t="str">
        <f>RTD("esrtd",,"ECF 11!-ICN","Open Interest")</f>
        <v/>
      </c>
      <c r="J12">
        <f>RTD("esrtd",,"ECF 11!-ICN","Recent Settlement")</f>
        <v>74.150000000000006</v>
      </c>
    </row>
    <row r="13" spans="1:10" x14ac:dyDescent="0.25">
      <c r="A13" t="str">
        <f>RTD("esrtd",,"ECF 12!-ICN","Symbol")</f>
        <v>ECF 27Q-ICN</v>
      </c>
      <c r="B13">
        <f>RTD("esrtd",,"ECF 12!-ICN","Last")</f>
        <v>74.48</v>
      </c>
      <c r="C13">
        <f>RTD("esrtd",,"ECF 12!-ICN","Change")</f>
        <v>-9.9999999999994316E-2</v>
      </c>
      <c r="D13">
        <f>RTD("esrtd",,"ECF 12!-ICN","High")</f>
        <v>74.48</v>
      </c>
      <c r="E13">
        <f>RTD("esrtd",,"ECF 12!-ICN","Low")</f>
        <v>74.48</v>
      </c>
      <c r="F13">
        <f>RTD("esrtd",,"ECF 12!-ICN","Bid")</f>
        <v>74.42</v>
      </c>
      <c r="G13">
        <f>RTD("esrtd",,"ECF 12!-ICN","Ask")</f>
        <v>74.540000000000006</v>
      </c>
      <c r="H13">
        <f>RTD("esrtd",,"ECF 12!-ICN","Cumulative Volume")</f>
        <v>2</v>
      </c>
      <c r="I13">
        <f>RTD("esrtd",,"ECF 12!-ICN","Open Interest")</f>
        <v>3443</v>
      </c>
      <c r="J13">
        <f>RTD("esrtd",,"ECF 12!-ICN","Recent Settlement")</f>
        <v>74.58</v>
      </c>
    </row>
    <row r="14" spans="1:10" x14ac:dyDescent="0.25">
      <c r="A14" t="str">
        <f>RTD("esrtd",,"ECF 13!-ICN","Symbol")</f>
        <v>ECF 27Z-ICN</v>
      </c>
      <c r="B14">
        <f>RTD("esrtd",,"ECF 13!-ICN","Last")</f>
        <v>75.150000000000006</v>
      </c>
      <c r="C14">
        <f>RTD("esrtd",,"ECF 13!-ICN","Change")</f>
        <v>-0.15999999999999659</v>
      </c>
      <c r="D14">
        <f>RTD("esrtd",,"ECF 13!-ICN","High")</f>
        <v>75.650000000000006</v>
      </c>
      <c r="E14">
        <f>RTD("esrtd",,"ECF 13!-ICN","Low")</f>
        <v>74.87</v>
      </c>
      <c r="F14">
        <f>RTD("esrtd",,"ECF 13!-ICN","Bid")</f>
        <v>75.19</v>
      </c>
      <c r="G14">
        <f>RTD("esrtd",,"ECF 13!-ICN","Ask")</f>
        <v>75.23</v>
      </c>
      <c r="H14">
        <f>RTD("esrtd",,"ECF 13!-ICN","Cumulative Volume")</f>
        <v>525</v>
      </c>
      <c r="I14">
        <f>RTD("esrtd",,"ECF 13!-ICN","Open Interest")</f>
        <v>48143</v>
      </c>
      <c r="J14">
        <f>RTD("esrtd",,"ECF 13!-ICN","Recent Settlement")</f>
        <v>75.31</v>
      </c>
    </row>
    <row r="15" spans="1:10" x14ac:dyDescent="0.25">
      <c r="A15" t="str">
        <f>RTD("esrtd",,"ECF 14!-ICN","Symbol")</f>
        <v>ECF 28H-ICN</v>
      </c>
      <c r="B15" t="str">
        <f>RTD("esrtd",,"ECF 14!-ICN","Last")</f>
        <v/>
      </c>
      <c r="C15" t="str">
        <f>RTD("esrtd",,"ECF 14!-ICN","Change")</f>
        <v/>
      </c>
      <c r="D15" t="str">
        <f>RTD("esrtd",,"ECF 14!-ICN","High")</f>
        <v/>
      </c>
      <c r="E15" t="str">
        <f>RTD("esrtd",,"ECF 14!-ICN","Low")</f>
        <v/>
      </c>
      <c r="F15">
        <f>RTD("esrtd",,"ECF 14!-ICN","Bid")</f>
        <v>75.75</v>
      </c>
      <c r="G15">
        <f>RTD("esrtd",,"ECF 14!-ICN","Ask")</f>
        <v>75.98</v>
      </c>
      <c r="H15">
        <f>RTD("esrtd",,"ECF 14!-ICN","Cumulative Volume")</f>
        <v>0</v>
      </c>
      <c r="I15">
        <f>RTD("esrtd",,"ECF 14!-ICN","Open Interest")</f>
        <v>1</v>
      </c>
      <c r="J15">
        <f>RTD("esrtd",,"ECF 14!-ICN","Recent Settlement")</f>
        <v>75.959999999999994</v>
      </c>
    </row>
    <row r="16" spans="1:10" x14ac:dyDescent="0.25">
      <c r="A16" t="str">
        <f>RTD("esrtd",,"ECF 15!-ICN","Symbol")</f>
        <v>ECF 28Q-ICN</v>
      </c>
      <c r="B16" t="str">
        <f>RTD("esrtd",,"ECF 15!-ICN","Last")</f>
        <v/>
      </c>
      <c r="C16" t="str">
        <f>RTD("esrtd",,"ECF 15!-ICN","Change")</f>
        <v/>
      </c>
      <c r="D16" t="str">
        <f>RTD("esrtd",,"ECF 15!-ICN","High")</f>
        <v/>
      </c>
      <c r="E16" t="str">
        <f>RTD("esrtd",,"ECF 15!-ICN","Low")</f>
        <v/>
      </c>
      <c r="F16" t="str">
        <f>RTD("esrtd",,"ECF 15!-ICN","Bid")</f>
        <v/>
      </c>
      <c r="G16" t="str">
        <f>RTD("esrtd",,"ECF 15!-ICN","Ask")</f>
        <v/>
      </c>
      <c r="H16">
        <f>RTD("esrtd",,"ECF 15!-ICN","Cumulative Volume")</f>
        <v>0</v>
      </c>
      <c r="I16" t="str">
        <f>RTD("esrtd",,"ECF 15!-ICN","Open Interest")</f>
        <v/>
      </c>
      <c r="J16">
        <f>RTD("esrtd",,"ECF 15!-ICN","Recent Settlement")</f>
        <v>76.66</v>
      </c>
    </row>
    <row r="17" spans="1:10" x14ac:dyDescent="0.25">
      <c r="A17" t="str">
        <f>RTD("esrtd",,"ECF 1!:ECF2!-ICN","Symbol")</f>
        <v>ECF 25U:ECF25V-ICN</v>
      </c>
      <c r="B17" t="str">
        <f>RTD("esrtd",,"ECF 1!:ECF2!-ICN","Last")</f>
        <v/>
      </c>
      <c r="C17" t="str">
        <f>RTD("esrtd",,"ECF 1!:ECF2!-ICN","Change")</f>
        <v/>
      </c>
      <c r="D17" t="str">
        <f>RTD("esrtd",,"ECF 1!:ECF2!-ICN","High")</f>
        <v/>
      </c>
      <c r="E17" t="str">
        <f>RTD("esrtd",,"ECF 1!:ECF2!-ICN","Low")</f>
        <v/>
      </c>
      <c r="F17">
        <f>RTD("esrtd",,"ECF 1!:ECF2!-ICN","Bid")</f>
        <v>-0.14000000000000001</v>
      </c>
      <c r="G17">
        <f>RTD("esrtd",,"ECF 1!:ECF2!-ICN","Ask")</f>
        <v>-0.12</v>
      </c>
      <c r="H17">
        <f>RTD("esrtd",,"ECF 1!:ECF2!-ICN","Cumulative Volume")</f>
        <v>0</v>
      </c>
      <c r="I17" t="str">
        <f>RTD("esrtd",,"ECF 1!:ECF2!-ICN","Open Interest")</f>
        <v/>
      </c>
      <c r="J17">
        <f>RTD("esrtd",,"ECF 1!:ECF2!-ICN","Recent Settlement")</f>
        <v>-0.13</v>
      </c>
    </row>
    <row r="18" spans="1:10" x14ac:dyDescent="0.25">
      <c r="A18" t="str">
        <f>RTD("esrtd",,"ECF 2!:ECF3!-ICN","Symbol")</f>
        <v>ECF 25V:ECF25X-ICN</v>
      </c>
      <c r="B18" t="str">
        <f>RTD("esrtd",,"ECF 2!:ECF3!-ICN","Last")</f>
        <v/>
      </c>
      <c r="C18" t="str">
        <f>RTD("esrtd",,"ECF 2!:ECF3!-ICN","Change")</f>
        <v/>
      </c>
      <c r="D18" t="str">
        <f>RTD("esrtd",,"ECF 2!:ECF3!-ICN","High")</f>
        <v/>
      </c>
      <c r="E18" t="str">
        <f>RTD("esrtd",,"ECF 2!:ECF3!-ICN","Low")</f>
        <v/>
      </c>
      <c r="F18">
        <f>RTD("esrtd",,"ECF 2!:ECF3!-ICN","Bid")</f>
        <v>-0.16</v>
      </c>
      <c r="G18">
        <f>RTD("esrtd",,"ECF 2!:ECF3!-ICN","Ask")</f>
        <v>-0.12</v>
      </c>
      <c r="H18">
        <f>RTD("esrtd",,"ECF 2!:ECF3!-ICN","Cumulative Volume")</f>
        <v>0</v>
      </c>
      <c r="I18" t="str">
        <f>RTD("esrtd",,"ECF 2!:ECF3!-ICN","Open Interest")</f>
        <v/>
      </c>
      <c r="J18">
        <f>RTD("esrtd",,"ECF 2!:ECF3!-ICN","Recent Settlement")</f>
        <v>-0.13</v>
      </c>
    </row>
    <row r="19" spans="1:10" x14ac:dyDescent="0.25">
      <c r="A19" t="str">
        <f>RTD("esrtd",,"ECF 3!:ECF5!-ICN","Symbol")</f>
        <v>ECF 3!:ECF5!-ICN</v>
      </c>
      <c r="B19" t="str">
        <f>RTD("esrtd",,"ECF 3!:ECF5!-ICN","Last")</f>
        <v/>
      </c>
      <c r="C19" t="str">
        <f>RTD("esrtd",,"ECF 3!:ECF5!-ICN","Change")</f>
        <v/>
      </c>
      <c r="D19" t="str">
        <f>RTD("esrtd",,"ECF 3!:ECF5!-ICN","High")</f>
        <v/>
      </c>
      <c r="E19" t="str">
        <f>RTD("esrtd",,"ECF 3!:ECF5!-ICN","Low")</f>
        <v/>
      </c>
      <c r="F19" t="str">
        <f>RTD("esrtd",,"ECF 3!:ECF5!-ICN","Bid")</f>
        <v/>
      </c>
      <c r="G19" t="str">
        <f>RTD("esrtd",,"ECF 3!:ECF5!-ICN","Ask")</f>
        <v/>
      </c>
      <c r="H19" t="str">
        <f>RTD("esrtd",,"ECF 3!:ECF5!-ICN","Cumulative Volume")</f>
        <v/>
      </c>
      <c r="I19" t="str">
        <f>RTD("esrtd",,"ECF 3!:ECF5!-ICN","Open Interest")</f>
        <v/>
      </c>
      <c r="J19" t="str">
        <f>RTD("esrtd",,"ECF 3!:ECF5!-ICN","Recent Settlement")</f>
        <v/>
      </c>
    </row>
    <row r="20" spans="1:10" x14ac:dyDescent="0.25">
      <c r="A20" t="str">
        <f>RTD("esrtd",,"ECF 4!:ECF5!-ICN","Symbol")</f>
        <v>ECF 25Z:ECF26H-ICN</v>
      </c>
      <c r="B20">
        <f>RTD("esrtd",,"ECF 4!:ECF5!-ICN","Last")</f>
        <v>-0.51</v>
      </c>
      <c r="C20">
        <f>RTD("esrtd",,"ECF 4!:ECF5!-ICN","Change")</f>
        <v>0</v>
      </c>
      <c r="D20">
        <f>RTD("esrtd",,"ECF 4!:ECF5!-ICN","High")</f>
        <v>-0.51</v>
      </c>
      <c r="E20">
        <f>RTD("esrtd",,"ECF 4!:ECF5!-ICN","Low")</f>
        <v>-0.52</v>
      </c>
      <c r="F20">
        <f>RTD("esrtd",,"ECF 4!:ECF5!-ICN","Bid")</f>
        <v>-0.51</v>
      </c>
      <c r="G20">
        <f>RTD("esrtd",,"ECF 4!:ECF5!-ICN","Ask")</f>
        <v>-0.5</v>
      </c>
      <c r="H20">
        <f>RTD("esrtd",,"ECF 4!:ECF5!-ICN","Cumulative Volume")</f>
        <v>35</v>
      </c>
      <c r="I20" t="str">
        <f>RTD("esrtd",,"ECF 4!:ECF5!-ICN","Open Interest")</f>
        <v/>
      </c>
      <c r="J20">
        <f>RTD("esrtd",,"ECF 4!:ECF5!-ICN","Recent Settlement")</f>
        <v>-0.51</v>
      </c>
    </row>
    <row r="21" spans="1:10" x14ac:dyDescent="0.25">
      <c r="A21" t="str">
        <f>RTD("esrtd",,"ECF 5!:ECF6!-ICN","Symbol")</f>
        <v>ECF 26H:ECF26M-ICN</v>
      </c>
      <c r="B21" t="str">
        <f>RTD("esrtd",,"ECF 5!:ECF6!-ICN","Last")</f>
        <v/>
      </c>
      <c r="C21" t="str">
        <f>RTD("esrtd",,"ECF 5!:ECF6!-ICN","Change")</f>
        <v/>
      </c>
      <c r="D21" t="str">
        <f>RTD("esrtd",,"ECF 5!:ECF6!-ICN","High")</f>
        <v/>
      </c>
      <c r="E21" t="str">
        <f>RTD("esrtd",,"ECF 5!:ECF6!-ICN","Low")</f>
        <v/>
      </c>
      <c r="F21">
        <f>RTD("esrtd",,"ECF 5!:ECF6!-ICN","Bid")</f>
        <v>-0.55000000000000004</v>
      </c>
      <c r="G21">
        <f>RTD("esrtd",,"ECF 5!:ECF6!-ICN","Ask")</f>
        <v>-0.44</v>
      </c>
      <c r="H21">
        <f>RTD("esrtd",,"ECF 5!:ECF6!-ICN","Cumulative Volume")</f>
        <v>0</v>
      </c>
      <c r="I21" t="str">
        <f>RTD("esrtd",,"ECF 5!:ECF6!-ICN","Open Interest")</f>
        <v/>
      </c>
      <c r="J21">
        <f>RTD("esrtd",,"ECF 5!:ECF6!-ICN","Recent Settlement")</f>
        <v>-0.51</v>
      </c>
    </row>
    <row r="22" spans="1:10" x14ac:dyDescent="0.25">
      <c r="A22" t="str">
        <f>RTD("esrtd",,"ECF 6!:ECF7!-ICN","Symbol")</f>
        <v>ECF 26M:ECF26Q-ICN</v>
      </c>
      <c r="B22" t="str">
        <f>RTD("esrtd",,"ECF 6!:ECF7!-ICN","Last")</f>
        <v/>
      </c>
      <c r="C22" t="str">
        <f>RTD("esrtd",,"ECF 6!:ECF7!-ICN","Change")</f>
        <v/>
      </c>
      <c r="D22" t="str">
        <f>RTD("esrtd",,"ECF 6!:ECF7!-ICN","High")</f>
        <v/>
      </c>
      <c r="E22" t="str">
        <f>RTD("esrtd",,"ECF 6!:ECF7!-ICN","Low")</f>
        <v/>
      </c>
      <c r="F22">
        <f>RTD("esrtd",,"ECF 6!:ECF7!-ICN","Bid")</f>
        <v>-0.38</v>
      </c>
      <c r="G22">
        <f>RTD("esrtd",,"ECF 6!:ECF7!-ICN","Ask")</f>
        <v>-0.25</v>
      </c>
      <c r="H22">
        <f>RTD("esrtd",,"ECF 6!:ECF7!-ICN","Cumulative Volume")</f>
        <v>0</v>
      </c>
      <c r="I22" t="str">
        <f>RTD("esrtd",,"ECF 6!:ECF7!-ICN","Open Interest")</f>
        <v/>
      </c>
      <c r="J22">
        <f>RTD("esrtd",,"ECF 6!:ECF7!-ICN","Recent Settlement")</f>
        <v>-0.28999999999999998</v>
      </c>
    </row>
    <row r="23" spans="1:10" x14ac:dyDescent="0.25">
      <c r="A23" t="str">
        <f>RTD("esrtd",,"ECF 7!:ECF8!-ICN","Symbol")</f>
        <v>ECF 26Q:ECF26U-ICN</v>
      </c>
      <c r="B23" t="str">
        <f>RTD("esrtd",,"ECF 7!:ECF8!-ICN","Last")</f>
        <v/>
      </c>
      <c r="C23" t="str">
        <f>RTD("esrtd",,"ECF 7!:ECF8!-ICN","Change")</f>
        <v/>
      </c>
      <c r="D23" t="str">
        <f>RTD("esrtd",,"ECF 7!:ECF8!-ICN","High")</f>
        <v/>
      </c>
      <c r="E23" t="str">
        <f>RTD("esrtd",,"ECF 7!:ECF8!-ICN","Low")</f>
        <v/>
      </c>
      <c r="F23">
        <f>RTD("esrtd",,"ECF 7!:ECF8!-ICN","Bid")</f>
        <v>-0.26</v>
      </c>
      <c r="G23">
        <f>RTD("esrtd",,"ECF 7!:ECF8!-ICN","Ask")</f>
        <v>-0.11</v>
      </c>
      <c r="H23">
        <f>RTD("esrtd",,"ECF 7!:ECF8!-ICN","Cumulative Volume")</f>
        <v>0</v>
      </c>
      <c r="I23" t="str">
        <f>RTD("esrtd",,"ECF 7!:ECF8!-ICN","Open Interest")</f>
        <v/>
      </c>
      <c r="J23">
        <f>RTD("esrtd",,"ECF 7!:ECF8!-ICN","Recent Settlement")</f>
        <v>-0.19</v>
      </c>
    </row>
    <row r="24" spans="1:10" x14ac:dyDescent="0.25">
      <c r="A24" t="str">
        <f>RTD("esrtd",,"ECF 8!:ECF9!-ICN","Symbol")</f>
        <v>ECF 26U:ECF26Z-ICN</v>
      </c>
      <c r="B24" t="str">
        <f>RTD("esrtd",,"ECF 8!:ECF9!-ICN","Last")</f>
        <v/>
      </c>
      <c r="C24" t="str">
        <f>RTD("esrtd",,"ECF 8!:ECF9!-ICN","Change")</f>
        <v/>
      </c>
      <c r="D24" t="str">
        <f>RTD("esrtd",,"ECF 8!:ECF9!-ICN","High")</f>
        <v/>
      </c>
      <c r="E24" t="str">
        <f>RTD("esrtd",,"ECF 8!:ECF9!-ICN","Low")</f>
        <v/>
      </c>
      <c r="F24">
        <f>RTD("esrtd",,"ECF 8!:ECF9!-ICN","Bid")</f>
        <v>-0.48</v>
      </c>
      <c r="G24">
        <f>RTD("esrtd",,"ECF 8!:ECF9!-ICN","Ask")</f>
        <v>-0.34</v>
      </c>
      <c r="H24">
        <f>RTD("esrtd",,"ECF 8!:ECF9!-ICN","Cumulative Volume")</f>
        <v>0</v>
      </c>
      <c r="I24" t="str">
        <f>RTD("esrtd",,"ECF 8!:ECF9!-ICN","Open Interest")</f>
        <v/>
      </c>
      <c r="J24">
        <f>RTD("esrtd",,"ECF 8!:ECF9!-ICN","Recent Settlement")</f>
        <v>-0.42</v>
      </c>
    </row>
    <row r="25" spans="1:10" x14ac:dyDescent="0.25">
      <c r="A25" t="str">
        <f>RTD("esrtd",,"ECF 9!:ECF10!-ICN","Symbol")</f>
        <v>ECF 26Z:ECF27H-ICN</v>
      </c>
      <c r="B25">
        <f>RTD("esrtd",,"ECF 9!:ECF10!-ICN","Last")</f>
        <v>-0.54</v>
      </c>
      <c r="C25">
        <f>RTD("esrtd",,"ECF 9!:ECF10!-ICN","Change")</f>
        <v>-2.0000000000000018E-2</v>
      </c>
      <c r="D25">
        <f>RTD("esrtd",,"ECF 9!:ECF10!-ICN","High")</f>
        <v>-0.54</v>
      </c>
      <c r="E25">
        <f>RTD("esrtd",,"ECF 9!:ECF10!-ICN","Low")</f>
        <v>-0.54</v>
      </c>
      <c r="F25">
        <f>RTD("esrtd",,"ECF 9!:ECF10!-ICN","Bid")</f>
        <v>-0.54</v>
      </c>
      <c r="G25">
        <f>RTD("esrtd",,"ECF 9!:ECF10!-ICN","Ask")</f>
        <v>-0.49</v>
      </c>
      <c r="H25">
        <f>RTD("esrtd",,"ECF 9!:ECF10!-ICN","Cumulative Volume")</f>
        <v>25</v>
      </c>
      <c r="I25" t="str">
        <f>RTD("esrtd",,"ECF 9!:ECF10!-ICN","Open Interest")</f>
        <v/>
      </c>
      <c r="J25">
        <f>RTD("esrtd",,"ECF 9!:ECF10!-ICN","Recent Settlement")</f>
        <v>-0.52</v>
      </c>
    </row>
    <row r="26" spans="1:10" x14ac:dyDescent="0.25">
      <c r="A26" t="str">
        <f>RTD("esrtd",,"ECF 11!:ECF12!-ICN","Symbol")</f>
        <v>ECF 27M:ECF27Q-ICN</v>
      </c>
      <c r="B26" t="str">
        <f>RTD("esrtd",,"ECF 11!:ECF12!-ICN","Last")</f>
        <v/>
      </c>
      <c r="C26" t="str">
        <f>RTD("esrtd",,"ECF 11!:ECF12!-ICN","Change")</f>
        <v/>
      </c>
      <c r="D26" t="str">
        <f>RTD("esrtd",,"ECF 11!:ECF12!-ICN","High")</f>
        <v/>
      </c>
      <c r="E26" t="str">
        <f>RTD("esrtd",,"ECF 11!:ECF12!-ICN","Low")</f>
        <v/>
      </c>
      <c r="F26" t="str">
        <f>RTD("esrtd",,"ECF 11!:ECF12!-ICN","Bid")</f>
        <v/>
      </c>
      <c r="G26" t="str">
        <f>RTD("esrtd",,"ECF 11!:ECF12!-ICN","Ask")</f>
        <v/>
      </c>
      <c r="H26">
        <f>RTD("esrtd",,"ECF 11!:ECF12!-ICN","Cumulative Volume")</f>
        <v>0</v>
      </c>
      <c r="I26" t="str">
        <f>RTD("esrtd",,"ECF 11!:ECF12!-ICN","Open Interest")</f>
        <v/>
      </c>
      <c r="J26">
        <f>RTD("esrtd",,"ECF 11!:ECF12!-ICN","Recent Settlement")</f>
        <v>-0.43</v>
      </c>
    </row>
    <row r="27" spans="1:10" x14ac:dyDescent="0.25">
      <c r="A27" t="str">
        <f>RTD("esrtd",,"ECF 12!:ECF13!-ICN","Symbol")</f>
        <v>ECF 27Q:ECF27Z-ICN</v>
      </c>
      <c r="B27">
        <f>RTD("esrtd",,"ECF 12!:ECF13!-ICN","Last")</f>
        <v>-0.69</v>
      </c>
      <c r="C27">
        <f>RTD("esrtd",,"ECF 12!:ECF13!-ICN","Change")</f>
        <v>4.0000000000000036E-2</v>
      </c>
      <c r="D27">
        <f>RTD("esrtd",,"ECF 12!:ECF13!-ICN","High")</f>
        <v>-0.69</v>
      </c>
      <c r="E27">
        <f>RTD("esrtd",,"ECF 12!:ECF13!-ICN","Low")</f>
        <v>-0.69</v>
      </c>
      <c r="F27">
        <f>RTD("esrtd",,"ECF 12!:ECF13!-ICN","Bid")</f>
        <v>-0.77</v>
      </c>
      <c r="G27">
        <f>RTD("esrtd",,"ECF 12!:ECF13!-ICN","Ask")</f>
        <v>-0.68</v>
      </c>
      <c r="H27">
        <f>RTD("esrtd",,"ECF 12!:ECF13!-ICN","Cumulative Volume")</f>
        <v>2</v>
      </c>
      <c r="I27" t="str">
        <f>RTD("esrtd",,"ECF 12!:ECF13!-ICN","Open Interest")</f>
        <v/>
      </c>
      <c r="J27">
        <f>RTD("esrtd",,"ECF 12!:ECF13!-ICN","Recent Settlement")</f>
        <v>-0.73</v>
      </c>
    </row>
    <row r="28" spans="1:10" x14ac:dyDescent="0.25">
      <c r="A28" t="str">
        <f>RTD("esrtd",,"ECF 13!:ECF14!-ICN","Symbol")</f>
        <v>ECF 27Z:ECF28H-ICN</v>
      </c>
      <c r="B28" t="str">
        <f>RTD("esrtd",,"ECF 13!:ECF14!-ICN","Last")</f>
        <v/>
      </c>
      <c r="C28" t="str">
        <f>RTD("esrtd",,"ECF 13!:ECF14!-ICN","Change")</f>
        <v/>
      </c>
      <c r="D28" t="str">
        <f>RTD("esrtd",,"ECF 13!:ECF14!-ICN","High")</f>
        <v/>
      </c>
      <c r="E28" t="str">
        <f>RTD("esrtd",,"ECF 13!:ECF14!-ICN","Low")</f>
        <v/>
      </c>
      <c r="F28">
        <f>RTD("esrtd",,"ECF 13!:ECF14!-ICN","Bid")</f>
        <v>-0.75</v>
      </c>
      <c r="G28">
        <f>RTD("esrtd",,"ECF 13!:ECF14!-ICN","Ask")</f>
        <v>-0.56000000000000005</v>
      </c>
      <c r="H28">
        <f>RTD("esrtd",,"ECF 13!:ECF14!-ICN","Cumulative Volume")</f>
        <v>0</v>
      </c>
      <c r="I28" t="str">
        <f>RTD("esrtd",,"ECF 13!:ECF14!-ICN","Open Interest")</f>
        <v/>
      </c>
      <c r="J28">
        <f>RTD("esrtd",,"ECF 13!:ECF14!-ICN","Recent Settlement")</f>
        <v>-0.65</v>
      </c>
    </row>
    <row r="29" spans="1:10" x14ac:dyDescent="0.25">
      <c r="A29" t="str">
        <f>RTD("esrtd",,"ECF 14!:ECF15!-ICN","Symbol")</f>
        <v>ECF 14!:ECF15!-ICN</v>
      </c>
      <c r="B29" t="str">
        <f>RTD("esrtd",,"ECF 14!:ECF15!-ICN","Last")</f>
        <v/>
      </c>
      <c r="C29" t="str">
        <f>RTD("esrtd",,"ECF 14!:ECF15!-ICN","Change")</f>
        <v/>
      </c>
      <c r="D29" t="str">
        <f>RTD("esrtd",,"ECF 14!:ECF15!-ICN","High")</f>
        <v/>
      </c>
      <c r="E29" t="str">
        <f>RTD("esrtd",,"ECF 14!:ECF15!-ICN","Low")</f>
        <v/>
      </c>
      <c r="F29" t="str">
        <f>RTD("esrtd",,"ECF 14!:ECF15!-ICN","Bid")</f>
        <v/>
      </c>
      <c r="G29" t="str">
        <f>RTD("esrtd",,"ECF 14!:ECF15!-ICN","Ask")</f>
        <v/>
      </c>
      <c r="H29" t="str">
        <f>RTD("esrtd",,"ECF 14!:ECF15!-ICN","Cumulative Volume")</f>
        <v/>
      </c>
      <c r="I29" t="str">
        <f>RTD("esrtd",,"ECF 14!:ECF15!-ICN","Open Interest")</f>
        <v/>
      </c>
      <c r="J29" t="str">
        <f>RTD("esrtd",,"ECF 14!:ECF15!-ICN","Recent Settlement")</f>
        <v/>
      </c>
    </row>
    <row r="30" spans="1:10" x14ac:dyDescent="0.25">
      <c r="A30" t="str">
        <f>RTD("esrtd",,"ECFZ 1!-ICN","Symbol")</f>
        <v>ECFZ 25Z-ICN</v>
      </c>
      <c r="B30">
        <f>RTD("esrtd",,"ECFZ 1!-ICN","Last")</f>
        <v>0</v>
      </c>
      <c r="C30">
        <f>RTD("esrtd",,"ECFZ 1!-ICN","Change")</f>
        <v>0</v>
      </c>
      <c r="D30">
        <f>RTD("esrtd",,"ECFZ 1!-ICN","High")</f>
        <v>0</v>
      </c>
      <c r="E30">
        <f>RTD("esrtd",,"ECFZ 1!-ICN","Low")</f>
        <v>0</v>
      </c>
      <c r="F30">
        <f>RTD("esrtd",,"ECFZ 1!-ICN","Bid")</f>
        <v>0</v>
      </c>
      <c r="G30">
        <f>RTD("esrtd",,"ECFZ 1!-ICN","Ask")</f>
        <v>0.01</v>
      </c>
      <c r="H30">
        <f>RTD("esrtd",,"ECFZ 1!-ICN","Cumulative Volume")</f>
        <v>102</v>
      </c>
      <c r="I30" t="str">
        <f>RTD("esrtd",,"ECFZ 1!-ICN","Open Interest")</f>
        <v/>
      </c>
      <c r="J30" t="str">
        <f>RTD("esrtd",,"ECFZ 1!-ICN","Recent Settlement")</f>
        <v/>
      </c>
    </row>
    <row r="31" spans="1:10" x14ac:dyDescent="0.25">
      <c r="A31" t="str">
        <f>RTD("esrtd",,"ECFZ 2!-ICN","Symbol")</f>
        <v>ECFZ 26Z-ICN</v>
      </c>
      <c r="B31" t="str">
        <f>RTD("esrtd",,"ECFZ 2!-ICN","Last")</f>
        <v/>
      </c>
      <c r="C31" t="str">
        <f>RTD("esrtd",,"ECFZ 2!-ICN","Change")</f>
        <v/>
      </c>
      <c r="D31" t="str">
        <f>RTD("esrtd",,"ECFZ 2!-ICN","High")</f>
        <v/>
      </c>
      <c r="E31" t="str">
        <f>RTD("esrtd",,"ECFZ 2!-ICN","Low")</f>
        <v/>
      </c>
      <c r="F31" t="str">
        <f>RTD("esrtd",,"ECFZ 2!-ICN","Bid")</f>
        <v/>
      </c>
      <c r="G31" t="str">
        <f>RTD("esrtd",,"ECFZ 2!-ICN","Ask")</f>
        <v/>
      </c>
      <c r="H31">
        <f>RTD("esrtd",,"ECFZ 2!-ICN","Cumulative Volume")</f>
        <v>0</v>
      </c>
      <c r="I31" t="str">
        <f>RTD("esrtd",,"ECFZ 2!-ICN","Open Interest")</f>
        <v/>
      </c>
      <c r="J31" t="str">
        <f>RTD("esrtd",,"ECFZ 2!-ICN","Recent Settlement")</f>
        <v/>
      </c>
    </row>
    <row r="32" spans="1:10" x14ac:dyDescent="0.25">
      <c r="A32" t="str">
        <f>RTD("esrtd",,"XICF000-PLM","Symbol")</f>
        <v>XICF000-PLM</v>
      </c>
      <c r="B32" t="str">
        <f>RTD("esrtd",,"XICF000-PLM","Last")</f>
        <v/>
      </c>
      <c r="C32" t="str">
        <f>RTD("esrtd",,"XICF000-PLM","Change")</f>
        <v/>
      </c>
      <c r="D32" t="str">
        <f>RTD("esrtd",,"XICF000-PLM","High")</f>
        <v/>
      </c>
      <c r="E32" t="str">
        <f>RTD("esrtd",,"XICF000-PLM","Low")</f>
        <v/>
      </c>
      <c r="F32" t="str">
        <f>RTD("esrtd",,"XICF000-PLM","Bid")</f>
        <v/>
      </c>
      <c r="G32" t="str">
        <f>RTD("esrtd",,"XICF000-PLM","Ask")</f>
        <v/>
      </c>
      <c r="H32" t="str">
        <f>RTD("esrtd",,"XICF000-PLM","Cumulative Volume")</f>
        <v/>
      </c>
      <c r="I32" t="str">
        <f>RTD("esrtd",,"XICF000-PLM","Open Interest")</f>
        <v/>
      </c>
      <c r="J32" t="str">
        <f>RTD("esrtd",,"XICF000-PLM","Recent Settlement")</f>
        <v/>
      </c>
    </row>
    <row r="33" spans="1:10" x14ac:dyDescent="0.25">
      <c r="A33" t="str">
        <f>RTD("esrtd",,"XICF001-PLM","Symbol")</f>
        <v>XICF001-PLM</v>
      </c>
      <c r="B33" t="str">
        <f>RTD("esrtd",,"XICF001-PLM","Last")</f>
        <v/>
      </c>
      <c r="C33" t="str">
        <f>RTD("esrtd",,"XICF001-PLM","Change")</f>
        <v/>
      </c>
      <c r="D33" t="str">
        <f>RTD("esrtd",,"XICF001-PLM","High")</f>
        <v/>
      </c>
      <c r="E33" t="str">
        <f>RTD("esrtd",,"XICF001-PLM","Low")</f>
        <v/>
      </c>
      <c r="F33" t="str">
        <f>RTD("esrtd",,"XICF001-PLM","Bid")</f>
        <v/>
      </c>
      <c r="G33" t="str">
        <f>RTD("esrtd",,"XICF001-PLM","Ask")</f>
        <v/>
      </c>
      <c r="H33" t="str">
        <f>RTD("esrtd",,"XICF001-PLM","Cumulative Volume")</f>
        <v/>
      </c>
      <c r="I33" t="str">
        <f>RTD("esrtd",,"XICF001-PLM","Open Interest")</f>
        <v/>
      </c>
      <c r="J33" t="str">
        <f>RTD("esrtd",,"XICF001-PLM","Recent Settlement")</f>
        <v/>
      </c>
    </row>
    <row r="34" spans="1:10" x14ac:dyDescent="0.25">
      <c r="A34" t="str">
        <f>RTD("esrtd",,"XICF002-PLM","Symbol")</f>
        <v>XICF002-PLM</v>
      </c>
      <c r="B34" t="str">
        <f>RTD("esrtd",,"XICF002-PLM","Last")</f>
        <v/>
      </c>
      <c r="C34" t="str">
        <f>RTD("esrtd",,"XICF002-PLM","Change")</f>
        <v/>
      </c>
      <c r="D34" t="str">
        <f>RTD("esrtd",,"XICF002-PLM","High")</f>
        <v/>
      </c>
      <c r="E34" t="str">
        <f>RTD("esrtd",,"XICF002-PLM","Low")</f>
        <v/>
      </c>
      <c r="F34" t="str">
        <f>RTD("esrtd",,"XICF002-PLM","Bid")</f>
        <v/>
      </c>
      <c r="G34" t="str">
        <f>RTD("esrtd",,"XICF002-PLM","Ask")</f>
        <v/>
      </c>
      <c r="H34" t="str">
        <f>RTD("esrtd",,"XICF002-PLM","Cumulative Volume")</f>
        <v/>
      </c>
      <c r="I34" t="str">
        <f>RTD("esrtd",,"XICF002-PLM","Open Interest")</f>
        <v/>
      </c>
      <c r="J34" t="str">
        <f>RTD("esrtd",,"XICF002-PLM","Recent Settlement")</f>
        <v/>
      </c>
    </row>
    <row r="35" spans="1:10" x14ac:dyDescent="0.25">
      <c r="A35" t="str">
        <f>RTD("esrtd",,"XICF003-PLM","Symbol")</f>
        <v>XICF003-PLM</v>
      </c>
      <c r="B35" t="str">
        <f>RTD("esrtd",,"XICF003-PLM","Last")</f>
        <v/>
      </c>
      <c r="C35" t="str">
        <f>RTD("esrtd",,"XICF003-PLM","Change")</f>
        <v/>
      </c>
      <c r="D35" t="str">
        <f>RTD("esrtd",,"XICF003-PLM","High")</f>
        <v/>
      </c>
      <c r="E35" t="str">
        <f>RTD("esrtd",,"XICF003-PLM","Low")</f>
        <v/>
      </c>
      <c r="F35" t="str">
        <f>RTD("esrtd",,"XICF003-PLM","Bid")</f>
        <v/>
      </c>
      <c r="G35" t="str">
        <f>RTD("esrtd",,"XICF003-PLM","Ask")</f>
        <v/>
      </c>
      <c r="H35" t="str">
        <f>RTD("esrtd",,"XICF003-PLM","Cumulative Volume")</f>
        <v/>
      </c>
      <c r="I35" t="str">
        <f>RTD("esrtd",,"XICF003-PLM","Open Interest")</f>
        <v/>
      </c>
      <c r="J35" t="str">
        <f>RTD("esrtd",,"XICF003-PLM","Recent Settlement")</f>
        <v/>
      </c>
    </row>
    <row r="36" spans="1:10" x14ac:dyDescent="0.25">
      <c r="A36" t="str">
        <f>RTD("esrtd",,"XICF004-PLM","Symbol")</f>
        <v>XICF004-PLM</v>
      </c>
      <c r="B36" t="str">
        <f>RTD("esrtd",,"XICF004-PLM","Last")</f>
        <v/>
      </c>
      <c r="C36" t="str">
        <f>RTD("esrtd",,"XICF004-PLM","Change")</f>
        <v/>
      </c>
      <c r="D36" t="str">
        <f>RTD("esrtd",,"XICF004-PLM","High")</f>
        <v/>
      </c>
      <c r="E36" t="str">
        <f>RTD("esrtd",,"XICF004-PLM","Low")</f>
        <v/>
      </c>
      <c r="F36" t="str">
        <f>RTD("esrtd",,"XICF004-PLM","Bid")</f>
        <v/>
      </c>
      <c r="G36" t="str">
        <f>RTD("esrtd",,"XICF004-PLM","Ask")</f>
        <v/>
      </c>
      <c r="H36" t="str">
        <f>RTD("esrtd",,"XICF004-PLM","Cumulative Volume")</f>
        <v/>
      </c>
      <c r="I36" t="str">
        <f>RTD("esrtd",,"XICF004-PLM","Open Interest")</f>
        <v/>
      </c>
      <c r="J36" t="str">
        <f>RTD("esrtd",,"XICF004-PLM","Recent Settlement")</f>
        <v/>
      </c>
    </row>
    <row r="37" spans="1:10" x14ac:dyDescent="0.25">
      <c r="A37" t="str">
        <f>RTD("esrtd",,"XICF005-PLM","Symbol")</f>
        <v>XICF005-PLM</v>
      </c>
      <c r="B37" t="str">
        <f>RTD("esrtd",,"XICF005-PLM","Last")</f>
        <v/>
      </c>
      <c r="C37" t="str">
        <f>RTD("esrtd",,"XICF005-PLM","Change")</f>
        <v/>
      </c>
      <c r="D37" t="str">
        <f>RTD("esrtd",,"XICF005-PLM","High")</f>
        <v/>
      </c>
      <c r="E37" t="str">
        <f>RTD("esrtd",,"XICF005-PLM","Low")</f>
        <v/>
      </c>
      <c r="F37" t="str">
        <f>RTD("esrtd",,"XICF005-PLM","Bid")</f>
        <v/>
      </c>
      <c r="G37" t="str">
        <f>RTD("esrtd",,"XICF005-PLM","Ask")</f>
        <v/>
      </c>
      <c r="H37" t="str">
        <f>RTD("esrtd",,"XICF005-PLM","Cumulative Volume")</f>
        <v/>
      </c>
      <c r="I37" t="str">
        <f>RTD("esrtd",,"XICF005-PLM","Open Interest")</f>
        <v/>
      </c>
      <c r="J37" t="str">
        <f>RTD("esrtd",,"XICF005-PLM","Recent Settlement")</f>
        <v/>
      </c>
    </row>
    <row r="38" spans="1:10" x14ac:dyDescent="0.25">
      <c r="A38" t="str">
        <f>RTD("esrtd",,"XICF006-PLM","Symbol")</f>
        <v>XICF006-PLM</v>
      </c>
      <c r="B38" t="str">
        <f>RTD("esrtd",,"XICF006-PLM","Last")</f>
        <v/>
      </c>
      <c r="C38" t="str">
        <f>RTD("esrtd",,"XICF006-PLM","Change")</f>
        <v/>
      </c>
      <c r="D38" t="str">
        <f>RTD("esrtd",,"XICF006-PLM","High")</f>
        <v/>
      </c>
      <c r="E38" t="str">
        <f>RTD("esrtd",,"XICF006-PLM","Low")</f>
        <v/>
      </c>
      <c r="F38" t="str">
        <f>RTD("esrtd",,"XICF006-PLM","Bid")</f>
        <v/>
      </c>
      <c r="G38" t="str">
        <f>RTD("esrtd",,"XICF006-PLM","Ask")</f>
        <v/>
      </c>
      <c r="H38" t="str">
        <f>RTD("esrtd",,"XICF006-PLM","Cumulative Volume")</f>
        <v/>
      </c>
      <c r="I38" t="str">
        <f>RTD("esrtd",,"XICF006-PLM","Open Interest")</f>
        <v/>
      </c>
      <c r="J38" t="str">
        <f>RTD("esrtd",,"XICF006-PLM","Recent Settlement")</f>
        <v/>
      </c>
    </row>
    <row r="39" spans="1:10" x14ac:dyDescent="0.25">
      <c r="A39" t="str">
        <f>RTD("esrtd",,"XICF007-PLM","Symbol")</f>
        <v>XICF007-PLM</v>
      </c>
      <c r="B39" t="str">
        <f>RTD("esrtd",,"XICF007-PLM","Last")</f>
        <v/>
      </c>
      <c r="C39" t="str">
        <f>RTD("esrtd",,"XICF007-PLM","Change")</f>
        <v/>
      </c>
      <c r="D39" t="str">
        <f>RTD("esrtd",,"XICF007-PLM","High")</f>
        <v/>
      </c>
      <c r="E39" t="str">
        <f>RTD("esrtd",,"XICF007-PLM","Low")</f>
        <v/>
      </c>
      <c r="F39" t="str">
        <f>RTD("esrtd",,"XICF007-PLM","Bid")</f>
        <v/>
      </c>
      <c r="G39" t="str">
        <f>RTD("esrtd",,"XICF007-PLM","Ask")</f>
        <v/>
      </c>
      <c r="H39" t="str">
        <f>RTD("esrtd",,"XICF007-PLM","Cumulative Volume")</f>
        <v/>
      </c>
      <c r="I39" t="str">
        <f>RTD("esrtd",,"XICF007-PLM","Open Interest")</f>
        <v/>
      </c>
      <c r="J39" t="str">
        <f>RTD("esrtd",,"XICF007-PLM","Recent Settlement")</f>
        <v/>
      </c>
    </row>
    <row r="40" spans="1:10" x14ac:dyDescent="0.25">
      <c r="A40" t="str">
        <f>RTD("esrtd",,"XICF008-PLM","Symbol")</f>
        <v>XICF008-PLM</v>
      </c>
      <c r="B40" t="str">
        <f>RTD("esrtd",,"XICF008-PLM","Last")</f>
        <v/>
      </c>
      <c r="C40" t="str">
        <f>RTD("esrtd",,"XICF008-PLM","Change")</f>
        <v/>
      </c>
      <c r="D40" t="str">
        <f>RTD("esrtd",,"XICF008-PLM","High")</f>
        <v/>
      </c>
      <c r="E40" t="str">
        <f>RTD("esrtd",,"XICF008-PLM","Low")</f>
        <v/>
      </c>
      <c r="F40" t="str">
        <f>RTD("esrtd",,"XICF008-PLM","Bid")</f>
        <v/>
      </c>
      <c r="G40" t="str">
        <f>RTD("esrtd",,"XICF008-PLM","Ask")</f>
        <v/>
      </c>
      <c r="H40" t="str">
        <f>RTD("esrtd",,"XICF008-PLM","Cumulative Volume")</f>
        <v/>
      </c>
      <c r="I40" t="str">
        <f>RTD("esrtd",,"XICF008-PLM","Open Interest")</f>
        <v/>
      </c>
      <c r="J40" t="str">
        <f>RTD("esrtd",,"XICF008-PLM","Recent Settlement")</f>
        <v/>
      </c>
    </row>
    <row r="41" spans="1:10" x14ac:dyDescent="0.25">
      <c r="A41" t="str">
        <f>RTD("esrtd",,"XICF009-PLM","Symbol")</f>
        <v>XICF009-PLM</v>
      </c>
      <c r="B41" t="str">
        <f>RTD("esrtd",,"XICF009-PLM","Last")</f>
        <v/>
      </c>
      <c r="C41" t="str">
        <f>RTD("esrtd",,"XICF009-PLM","Change")</f>
        <v/>
      </c>
      <c r="D41" t="str">
        <f>RTD("esrtd",,"XICF009-PLM","High")</f>
        <v/>
      </c>
      <c r="E41" t="str">
        <f>RTD("esrtd",,"XICF009-PLM","Low")</f>
        <v/>
      </c>
      <c r="F41" t="str">
        <f>RTD("esrtd",,"XICF009-PLM","Bid")</f>
        <v/>
      </c>
      <c r="G41" t="str">
        <f>RTD("esrtd",,"XICF009-PLM","Ask")</f>
        <v/>
      </c>
      <c r="H41" t="str">
        <f>RTD("esrtd",,"XICF009-PLM","Cumulative Volume")</f>
        <v/>
      </c>
      <c r="I41" t="str">
        <f>RTD("esrtd",,"XICF009-PLM","Open Interest")</f>
        <v/>
      </c>
      <c r="J41" t="str">
        <f>RTD("esrtd",,"XICF009-PLM","Recent Settlement")</f>
        <v/>
      </c>
    </row>
    <row r="42" spans="1:10" x14ac:dyDescent="0.25">
      <c r="A42" t="str">
        <f>RTD("esrtd",,"XICF010-PLM","Symbol")</f>
        <v>XICF010-PLM</v>
      </c>
      <c r="B42" t="str">
        <f>RTD("esrtd",,"XICF010-PLM","Last")</f>
        <v/>
      </c>
      <c r="C42" t="str">
        <f>RTD("esrtd",,"XICF010-PLM","Change")</f>
        <v/>
      </c>
      <c r="D42" t="str">
        <f>RTD("esrtd",,"XICF010-PLM","High")</f>
        <v/>
      </c>
      <c r="E42" t="str">
        <f>RTD("esrtd",,"XICF010-PLM","Low")</f>
        <v/>
      </c>
      <c r="F42" t="str">
        <f>RTD("esrtd",,"XICF010-PLM","Bid")</f>
        <v/>
      </c>
      <c r="G42" t="str">
        <f>RTD("esrtd",,"XICF010-PLM","Ask")</f>
        <v/>
      </c>
      <c r="H42" t="str">
        <f>RTD("esrtd",,"XICF010-PLM","Cumulative Volume")</f>
        <v/>
      </c>
      <c r="I42" t="str">
        <f>RTD("esrtd",,"XICF010-PLM","Open Interest")</f>
        <v/>
      </c>
      <c r="J42" t="str">
        <f>RTD("esrtd",,"XICF010-PLM","Recent Settlement")</f>
        <v/>
      </c>
    </row>
    <row r="43" spans="1:10" x14ac:dyDescent="0.25">
      <c r="A43" t="str">
        <f>RTD("esrtd",,"XICF011-PLM","Symbol")</f>
        <v>XICF011-PLM</v>
      </c>
      <c r="B43" t="str">
        <f>RTD("esrtd",,"XICF011-PLM","Last")</f>
        <v/>
      </c>
      <c r="C43" t="str">
        <f>RTD("esrtd",,"XICF011-PLM","Change")</f>
        <v/>
      </c>
      <c r="D43" t="str">
        <f>RTD("esrtd",,"XICF011-PLM","High")</f>
        <v/>
      </c>
      <c r="E43" t="str">
        <f>RTD("esrtd",,"XICF011-PLM","Low")</f>
        <v/>
      </c>
      <c r="F43" t="str">
        <f>RTD("esrtd",,"XICF011-PLM","Bid")</f>
        <v/>
      </c>
      <c r="G43" t="str">
        <f>RTD("esrtd",,"XICF011-PLM","Ask")</f>
        <v/>
      </c>
      <c r="H43" t="str">
        <f>RTD("esrtd",,"XICF011-PLM","Cumulative Volume")</f>
        <v/>
      </c>
      <c r="I43" t="str">
        <f>RTD("esrtd",,"XICF011-PLM","Open Interest")</f>
        <v/>
      </c>
      <c r="J43" t="str">
        <f>RTD("esrtd",,"XICF011-PLM","Recent Settlement")</f>
        <v/>
      </c>
    </row>
    <row r="44" spans="1:10" x14ac:dyDescent="0.25">
      <c r="A44" t="str">
        <f>RTD("esrtd",,"XICF012-PLM","Symbol")</f>
        <v>XICF012-PLM</v>
      </c>
      <c r="B44" t="str">
        <f>RTD("esrtd",,"XICF012-PLM","Last")</f>
        <v/>
      </c>
      <c r="C44" t="str">
        <f>RTD("esrtd",,"XICF012-PLM","Change")</f>
        <v/>
      </c>
      <c r="D44" t="str">
        <f>RTD("esrtd",,"XICF012-PLM","High")</f>
        <v/>
      </c>
      <c r="E44" t="str">
        <f>RTD("esrtd",,"XICF012-PLM","Low")</f>
        <v/>
      </c>
      <c r="F44" t="str">
        <f>RTD("esrtd",,"XICF012-PLM","Bid")</f>
        <v/>
      </c>
      <c r="G44" t="str">
        <f>RTD("esrtd",,"XICF012-PLM","Ask")</f>
        <v/>
      </c>
      <c r="H44" t="str">
        <f>RTD("esrtd",,"XICF012-PLM","Cumulative Volume")</f>
        <v/>
      </c>
      <c r="I44" t="str">
        <f>RTD("esrtd",,"XICF012-PLM","Open Interest")</f>
        <v/>
      </c>
      <c r="J44" t="str">
        <f>RTD("esrtd",,"XICF012-PLM","Recent Settlement")</f>
        <v/>
      </c>
    </row>
    <row r="45" spans="1:10" x14ac:dyDescent="0.25">
      <c r="A45" t="str">
        <f>RTD("esrtd",,"XICF013-PLM","Symbol")</f>
        <v>XICF013-PLM</v>
      </c>
      <c r="B45" t="str">
        <f>RTD("esrtd",,"XICF013-PLM","Last")</f>
        <v/>
      </c>
      <c r="C45" t="str">
        <f>RTD("esrtd",,"XICF013-PLM","Change")</f>
        <v/>
      </c>
      <c r="D45" t="str">
        <f>RTD("esrtd",,"XICF013-PLM","High")</f>
        <v/>
      </c>
      <c r="E45" t="str">
        <f>RTD("esrtd",,"XICF013-PLM","Low")</f>
        <v/>
      </c>
      <c r="F45" t="str">
        <f>RTD("esrtd",,"XICF013-PLM","Bid")</f>
        <v/>
      </c>
      <c r="G45" t="str">
        <f>RTD("esrtd",,"XICF013-PLM","Ask")</f>
        <v/>
      </c>
      <c r="H45" t="str">
        <f>RTD("esrtd",,"XICF013-PLM","Cumulative Volume")</f>
        <v/>
      </c>
      <c r="I45" t="str">
        <f>RTD("esrtd",,"XICF013-PLM","Open Interest")</f>
        <v/>
      </c>
      <c r="J45" t="str">
        <f>RTD("esrtd",,"XICF013-PLM","Recent Settlement")</f>
        <v/>
      </c>
    </row>
    <row r="46" spans="1:10" x14ac:dyDescent="0.25">
      <c r="A46" t="str">
        <f>RTD("esrtd",,"XICF016-PLM","Symbol")</f>
        <v>XICF016-PLM</v>
      </c>
      <c r="B46" t="str">
        <f>RTD("esrtd",,"XICF016-PLM","Last")</f>
        <v/>
      </c>
      <c r="C46" t="str">
        <f>RTD("esrtd",,"XICF016-PLM","Change")</f>
        <v/>
      </c>
      <c r="D46" t="str">
        <f>RTD("esrtd",,"XICF016-PLM","High")</f>
        <v/>
      </c>
      <c r="E46" t="str">
        <f>RTD("esrtd",,"XICF016-PLM","Low")</f>
        <v/>
      </c>
      <c r="F46" t="str">
        <f>RTD("esrtd",,"XICF016-PLM","Bid")</f>
        <v/>
      </c>
      <c r="G46" t="str">
        <f>RTD("esrtd",,"XICF016-PLM","Ask")</f>
        <v/>
      </c>
      <c r="H46" t="str">
        <f>RTD("esrtd",,"XICF016-PLM","Cumulative Volume")</f>
        <v/>
      </c>
      <c r="I46" t="str">
        <f>RTD("esrtd",,"XICF016-PLM","Open Interest")</f>
        <v/>
      </c>
      <c r="J46" t="str">
        <f>RTD("esrtd",,"XICF016-PLM","Recent Settlement")</f>
        <v/>
      </c>
    </row>
    <row r="47" spans="1:10" x14ac:dyDescent="0.25">
      <c r="A47" t="str">
        <f>RTD("esrtd",,"XICFH18-PLM","Symbol")</f>
        <v>XICFH18-PLM</v>
      </c>
      <c r="B47" t="str">
        <f>RTD("esrtd",,"XICFH18-PLM","Last")</f>
        <v/>
      </c>
      <c r="C47" t="str">
        <f>RTD("esrtd",,"XICFH18-PLM","Change")</f>
        <v/>
      </c>
      <c r="D47" t="str">
        <f>RTD("esrtd",,"XICFH18-PLM","High")</f>
        <v/>
      </c>
      <c r="E47" t="str">
        <f>RTD("esrtd",,"XICFH18-PLM","Low")</f>
        <v/>
      </c>
      <c r="F47" t="str">
        <f>RTD("esrtd",,"XICFH18-PLM","Bid")</f>
        <v/>
      </c>
      <c r="G47" t="str">
        <f>RTD("esrtd",,"XICFH18-PLM","Ask")</f>
        <v/>
      </c>
      <c r="H47" t="str">
        <f>RTD("esrtd",,"XICFH18-PLM","Cumulative Volume")</f>
        <v/>
      </c>
      <c r="I47" t="str">
        <f>RTD("esrtd",,"XICFH18-PLM","Open Interest")</f>
        <v/>
      </c>
      <c r="J47" t="str">
        <f>RTD("esrtd",,"XICFH18-PLM","Recent Settlement")</f>
        <v/>
      </c>
    </row>
    <row r="48" spans="1:10" x14ac:dyDescent="0.25">
      <c r="A48" t="str">
        <f>RTD("esrtd",,"XICFH19-PLM","Symbol")</f>
        <v>XICFH19-PLM</v>
      </c>
      <c r="B48" t="str">
        <f>RTD("esrtd",,"XICFH19-PLM","Last")</f>
        <v/>
      </c>
      <c r="C48" t="str">
        <f>RTD("esrtd",,"XICFH19-PLM","Change")</f>
        <v/>
      </c>
      <c r="D48" t="str">
        <f>RTD("esrtd",,"XICFH19-PLM","High")</f>
        <v/>
      </c>
      <c r="E48" t="str">
        <f>RTD("esrtd",,"XICFH19-PLM","Low")</f>
        <v/>
      </c>
      <c r="F48" t="str">
        <f>RTD("esrtd",,"XICFH19-PLM","Bid")</f>
        <v/>
      </c>
      <c r="G48" t="str">
        <f>RTD("esrtd",,"XICFH19-PLM","Ask")</f>
        <v/>
      </c>
      <c r="H48" t="str">
        <f>RTD("esrtd",,"XICFH19-PLM","Cumulative Volume")</f>
        <v/>
      </c>
      <c r="I48" t="str">
        <f>RTD("esrtd",,"XICFH19-PLM","Open Interest")</f>
        <v/>
      </c>
      <c r="J48" t="str">
        <f>RTD("esrtd",,"XICFH19-PLM","Recent Settlement")</f>
        <v/>
      </c>
    </row>
    <row r="49" spans="1:10" x14ac:dyDescent="0.25">
      <c r="A49" t="str">
        <f>RTD("esrtd",,"XICFH20-PLM","Symbol")</f>
        <v>XICFH20-PLM</v>
      </c>
      <c r="B49" t="str">
        <f>RTD("esrtd",,"XICFH20-PLM","Last")</f>
        <v/>
      </c>
      <c r="C49" t="str">
        <f>RTD("esrtd",,"XICFH20-PLM","Change")</f>
        <v/>
      </c>
      <c r="D49" t="str">
        <f>RTD("esrtd",,"XICFH20-PLM","High")</f>
        <v/>
      </c>
      <c r="E49" t="str">
        <f>RTD("esrtd",,"XICFH20-PLM","Low")</f>
        <v/>
      </c>
      <c r="F49" t="str">
        <f>RTD("esrtd",,"XICFH20-PLM","Bid")</f>
        <v/>
      </c>
      <c r="G49" t="str">
        <f>RTD("esrtd",,"XICFH20-PLM","Ask")</f>
        <v/>
      </c>
      <c r="H49" t="str">
        <f>RTD("esrtd",,"XICFH20-PLM","Cumulative Volume")</f>
        <v/>
      </c>
      <c r="I49" t="str">
        <f>RTD("esrtd",,"XICFH20-PLM","Open Interest")</f>
        <v/>
      </c>
      <c r="J49" t="str">
        <f>RTD("esrtd",,"XICFH20-PLM","Recent Settlement")</f>
        <v/>
      </c>
    </row>
    <row r="50" spans="1:10" x14ac:dyDescent="0.25">
      <c r="A50" t="str">
        <f>RTD("esrtd",,"XICFH21-PLM","Symbol")</f>
        <v>XICFH21-PLM</v>
      </c>
      <c r="B50" t="str">
        <f>RTD("esrtd",,"XICFH21-PLM","Last")</f>
        <v/>
      </c>
      <c r="C50" t="str">
        <f>RTD("esrtd",,"XICFH21-PLM","Change")</f>
        <v/>
      </c>
      <c r="D50" t="str">
        <f>RTD("esrtd",,"XICFH21-PLM","High")</f>
        <v/>
      </c>
      <c r="E50" t="str">
        <f>RTD("esrtd",,"XICFH21-PLM","Low")</f>
        <v/>
      </c>
      <c r="F50" t="str">
        <f>RTD("esrtd",,"XICFH21-PLM","Bid")</f>
        <v/>
      </c>
      <c r="G50" t="str">
        <f>RTD("esrtd",,"XICFH21-PLM","Ask")</f>
        <v/>
      </c>
      <c r="H50" t="str">
        <f>RTD("esrtd",,"XICFH21-PLM","Cumulative Volume")</f>
        <v/>
      </c>
      <c r="I50" t="str">
        <f>RTD("esrtd",,"XICFH21-PLM","Open Interest")</f>
        <v/>
      </c>
      <c r="J50" t="str">
        <f>RTD("esrtd",,"XICFH21-PLM","Recent Settlement")</f>
        <v/>
      </c>
    </row>
    <row r="51" spans="1:10" x14ac:dyDescent="0.25">
      <c r="A51" t="str">
        <f>RTD("esrtd",,"XICFM18-PLM","Symbol")</f>
        <v>XICFM18-PLM</v>
      </c>
      <c r="B51" t="str">
        <f>RTD("esrtd",,"XICFM18-PLM","Last")</f>
        <v/>
      </c>
      <c r="C51" t="str">
        <f>RTD("esrtd",,"XICFM18-PLM","Change")</f>
        <v/>
      </c>
      <c r="D51" t="str">
        <f>RTD("esrtd",,"XICFM18-PLM","High")</f>
        <v/>
      </c>
      <c r="E51" t="str">
        <f>RTD("esrtd",,"XICFM18-PLM","Low")</f>
        <v/>
      </c>
      <c r="F51" t="str">
        <f>RTD("esrtd",,"XICFM18-PLM","Bid")</f>
        <v/>
      </c>
      <c r="G51" t="str">
        <f>RTD("esrtd",,"XICFM18-PLM","Ask")</f>
        <v/>
      </c>
      <c r="H51" t="str">
        <f>RTD("esrtd",,"XICFM18-PLM","Cumulative Volume")</f>
        <v/>
      </c>
      <c r="I51" t="str">
        <f>RTD("esrtd",,"XICFM18-PLM","Open Interest")</f>
        <v/>
      </c>
      <c r="J51" t="str">
        <f>RTD("esrtd",,"XICFM18-PLM","Recent Settlement")</f>
        <v/>
      </c>
    </row>
    <row r="52" spans="1:10" x14ac:dyDescent="0.25">
      <c r="A52" t="str">
        <f>RTD("esrtd",,"XICFM19-PLM","Symbol")</f>
        <v>XICFM19-PLM</v>
      </c>
      <c r="B52" t="str">
        <f>RTD("esrtd",,"XICFM19-PLM","Last")</f>
        <v/>
      </c>
      <c r="C52" t="str">
        <f>RTD("esrtd",,"XICFM19-PLM","Change")</f>
        <v/>
      </c>
      <c r="D52" t="str">
        <f>RTD("esrtd",,"XICFM19-PLM","High")</f>
        <v/>
      </c>
      <c r="E52" t="str">
        <f>RTD("esrtd",,"XICFM19-PLM","Low")</f>
        <v/>
      </c>
      <c r="F52" t="str">
        <f>RTD("esrtd",,"XICFM19-PLM","Bid")</f>
        <v/>
      </c>
      <c r="G52" t="str">
        <f>RTD("esrtd",,"XICFM19-PLM","Ask")</f>
        <v/>
      </c>
      <c r="H52" t="str">
        <f>RTD("esrtd",,"XICFM19-PLM","Cumulative Volume")</f>
        <v/>
      </c>
      <c r="I52" t="str">
        <f>RTD("esrtd",,"XICFM19-PLM","Open Interest")</f>
        <v/>
      </c>
      <c r="J52" t="str">
        <f>RTD("esrtd",,"XICFM19-PLM","Recent Settlement")</f>
        <v/>
      </c>
    </row>
    <row r="53" spans="1:10" x14ac:dyDescent="0.25">
      <c r="A53" t="str">
        <f>RTD("esrtd",,"XICFM20-PLM","Symbol")</f>
        <v>XICFM20-PLM</v>
      </c>
      <c r="B53" t="str">
        <f>RTD("esrtd",,"XICFM20-PLM","Last")</f>
        <v/>
      </c>
      <c r="C53" t="str">
        <f>RTD("esrtd",,"XICFM20-PLM","Change")</f>
        <v/>
      </c>
      <c r="D53" t="str">
        <f>RTD("esrtd",,"XICFM20-PLM","High")</f>
        <v/>
      </c>
      <c r="E53" t="str">
        <f>RTD("esrtd",,"XICFM20-PLM","Low")</f>
        <v/>
      </c>
      <c r="F53" t="str">
        <f>RTD("esrtd",,"XICFM20-PLM","Bid")</f>
        <v/>
      </c>
      <c r="G53" t="str">
        <f>RTD("esrtd",,"XICFM20-PLM","Ask")</f>
        <v/>
      </c>
      <c r="H53" t="str">
        <f>RTD("esrtd",,"XICFM20-PLM","Cumulative Volume")</f>
        <v/>
      </c>
      <c r="I53" t="str">
        <f>RTD("esrtd",,"XICFM20-PLM","Open Interest")</f>
        <v/>
      </c>
      <c r="J53" t="str">
        <f>RTD("esrtd",,"XICFM20-PLM","Recent Settlement")</f>
        <v/>
      </c>
    </row>
    <row r="54" spans="1:10" x14ac:dyDescent="0.25">
      <c r="A54" t="str">
        <f>RTD("esrtd",,"XICFU18-PLM","Symbol")</f>
        <v>XICFU18-PLM</v>
      </c>
      <c r="B54" t="str">
        <f>RTD("esrtd",,"XICFU18-PLM","Last")</f>
        <v/>
      </c>
      <c r="C54" t="str">
        <f>RTD("esrtd",,"XICFU18-PLM","Change")</f>
        <v/>
      </c>
      <c r="D54" t="str">
        <f>RTD("esrtd",,"XICFU18-PLM","High")</f>
        <v/>
      </c>
      <c r="E54" t="str">
        <f>RTD("esrtd",,"XICFU18-PLM","Low")</f>
        <v/>
      </c>
      <c r="F54" t="str">
        <f>RTD("esrtd",,"XICFU18-PLM","Bid")</f>
        <v/>
      </c>
      <c r="G54" t="str">
        <f>RTD("esrtd",,"XICFU18-PLM","Ask")</f>
        <v/>
      </c>
      <c r="H54" t="str">
        <f>RTD("esrtd",,"XICFU18-PLM","Cumulative Volume")</f>
        <v/>
      </c>
      <c r="I54" t="str">
        <f>RTD("esrtd",,"XICFU18-PLM","Open Interest")</f>
        <v/>
      </c>
      <c r="J54" t="str">
        <f>RTD("esrtd",,"XICFU18-PLM","Recent Settlement")</f>
        <v/>
      </c>
    </row>
    <row r="55" spans="1:10" x14ac:dyDescent="0.25">
      <c r="A55" t="str">
        <f>RTD("esrtd",,"XICFU19-PLM","Symbol")</f>
        <v>XICFU19-PLM</v>
      </c>
      <c r="B55" t="str">
        <f>RTD("esrtd",,"XICFU19-PLM","Last")</f>
        <v/>
      </c>
      <c r="C55" t="str">
        <f>RTD("esrtd",,"XICFU19-PLM","Change")</f>
        <v/>
      </c>
      <c r="D55" t="str">
        <f>RTD("esrtd",,"XICFU19-PLM","High")</f>
        <v/>
      </c>
      <c r="E55" t="str">
        <f>RTD("esrtd",,"XICFU19-PLM","Low")</f>
        <v/>
      </c>
      <c r="F55" t="str">
        <f>RTD("esrtd",,"XICFU19-PLM","Bid")</f>
        <v/>
      </c>
      <c r="G55" t="str">
        <f>RTD("esrtd",,"XICFU19-PLM","Ask")</f>
        <v/>
      </c>
      <c r="H55" t="str">
        <f>RTD("esrtd",,"XICFU19-PLM","Cumulative Volume")</f>
        <v/>
      </c>
      <c r="I55" t="str">
        <f>RTD("esrtd",,"XICFU19-PLM","Open Interest")</f>
        <v/>
      </c>
      <c r="J55" t="str">
        <f>RTD("esrtd",,"XICFU19-PLM","Recent Settlement")</f>
        <v/>
      </c>
    </row>
    <row r="56" spans="1:10" x14ac:dyDescent="0.25">
      <c r="A56" t="str">
        <f>RTD("esrtd",,"XICFU20-PLM","Symbol")</f>
        <v>XICFU20-PLM</v>
      </c>
      <c r="B56" t="str">
        <f>RTD("esrtd",,"XICFU20-PLM","Last")</f>
        <v/>
      </c>
      <c r="C56" t="str">
        <f>RTD("esrtd",,"XICFU20-PLM","Change")</f>
        <v/>
      </c>
      <c r="D56" t="str">
        <f>RTD("esrtd",,"XICFU20-PLM","High")</f>
        <v/>
      </c>
      <c r="E56" t="str">
        <f>RTD("esrtd",,"XICFU20-PLM","Low")</f>
        <v/>
      </c>
      <c r="F56" t="str">
        <f>RTD("esrtd",,"XICFU20-PLM","Bid")</f>
        <v/>
      </c>
      <c r="G56" t="str">
        <f>RTD("esrtd",,"XICFU20-PLM","Ask")</f>
        <v/>
      </c>
      <c r="H56" t="str">
        <f>RTD("esrtd",,"XICFU20-PLM","Cumulative Volume")</f>
        <v/>
      </c>
      <c r="I56" t="str">
        <f>RTD("esrtd",,"XICFU20-PLM","Open Interest")</f>
        <v/>
      </c>
      <c r="J56" t="str">
        <f>RTD("esrtd",,"XICFU20-PLM","Recent Settlement")</f>
        <v/>
      </c>
    </row>
    <row r="57" spans="1:10" x14ac:dyDescent="0.25">
      <c r="A57" t="str">
        <f>RTD("esrtd",,"XICFZ18-PLM","Symbol")</f>
        <v>XICFZ18-PLM</v>
      </c>
      <c r="B57" t="str">
        <f>RTD("esrtd",,"XICFZ18-PLM","Last")</f>
        <v/>
      </c>
      <c r="C57" t="str">
        <f>RTD("esrtd",,"XICFZ18-PLM","Change")</f>
        <v/>
      </c>
      <c r="D57" t="str">
        <f>RTD("esrtd",,"XICFZ18-PLM","High")</f>
        <v/>
      </c>
      <c r="E57" t="str">
        <f>RTD("esrtd",,"XICFZ18-PLM","Low")</f>
        <v/>
      </c>
      <c r="F57" t="str">
        <f>RTD("esrtd",,"XICFZ18-PLM","Bid")</f>
        <v/>
      </c>
      <c r="G57" t="str">
        <f>RTD("esrtd",,"XICFZ18-PLM","Ask")</f>
        <v/>
      </c>
      <c r="H57" t="str">
        <f>RTD("esrtd",,"XICFZ18-PLM","Cumulative Volume")</f>
        <v/>
      </c>
      <c r="I57" t="str">
        <f>RTD("esrtd",,"XICFZ18-PLM","Open Interest")</f>
        <v/>
      </c>
      <c r="J57" t="str">
        <f>RTD("esrtd",,"XICFZ18-PLM","Recent Settlement")</f>
        <v/>
      </c>
    </row>
    <row r="58" spans="1:10" x14ac:dyDescent="0.25">
      <c r="A58" t="str">
        <f>RTD("esrtd",,"XICFZ19-PLM","Symbol")</f>
        <v>XICFZ19-PLM</v>
      </c>
      <c r="B58" t="str">
        <f>RTD("esrtd",,"XICFZ19-PLM","Last")</f>
        <v/>
      </c>
      <c r="C58" t="str">
        <f>RTD("esrtd",,"XICFZ19-PLM","Change")</f>
        <v/>
      </c>
      <c r="D58" t="str">
        <f>RTD("esrtd",,"XICFZ19-PLM","High")</f>
        <v/>
      </c>
      <c r="E58" t="str">
        <f>RTD("esrtd",,"XICFZ19-PLM","Low")</f>
        <v/>
      </c>
      <c r="F58" t="str">
        <f>RTD("esrtd",,"XICFZ19-PLM","Bid")</f>
        <v/>
      </c>
      <c r="G58" t="str">
        <f>RTD("esrtd",,"XICFZ19-PLM","Ask")</f>
        <v/>
      </c>
      <c r="H58" t="str">
        <f>RTD("esrtd",,"XICFZ19-PLM","Cumulative Volume")</f>
        <v/>
      </c>
      <c r="I58" t="str">
        <f>RTD("esrtd",,"XICFZ19-PLM","Open Interest")</f>
        <v/>
      </c>
      <c r="J58" t="str">
        <f>RTD("esrtd",,"XICFZ19-PLM","Recent Settlement")</f>
        <v/>
      </c>
    </row>
    <row r="59" spans="1:10" x14ac:dyDescent="0.25">
      <c r="A59" t="str">
        <f>RTD("esrtd",,"XICFZ20-PLM","Symbol")</f>
        <v>XICFZ20-PLM</v>
      </c>
      <c r="B59" t="str">
        <f>RTD("esrtd",,"XICFZ20-PLM","Last")</f>
        <v/>
      </c>
      <c r="C59" t="str">
        <f>RTD("esrtd",,"XICFZ20-PLM","Change")</f>
        <v/>
      </c>
      <c r="D59" t="str">
        <f>RTD("esrtd",,"XICFZ20-PLM","High")</f>
        <v/>
      </c>
      <c r="E59" t="str">
        <f>RTD("esrtd",,"XICFZ20-PLM","Low")</f>
        <v/>
      </c>
      <c r="F59" t="str">
        <f>RTD("esrtd",,"XICFZ20-PLM","Bid")</f>
        <v/>
      </c>
      <c r="G59" t="str">
        <f>RTD("esrtd",,"XICFZ20-PLM","Ask")</f>
        <v/>
      </c>
      <c r="H59" t="str">
        <f>RTD("esrtd",,"XICFZ20-PLM","Cumulative Volume")</f>
        <v/>
      </c>
      <c r="I59" t="str">
        <f>RTD("esrtd",,"XICFZ20-PLM","Open Interest")</f>
        <v/>
      </c>
      <c r="J59" t="str">
        <f>RTD("esrtd",,"XICFZ20-PLM","Recent Settlement")</f>
        <v/>
      </c>
    </row>
    <row r="60" spans="1:10" x14ac:dyDescent="0.25">
      <c r="A60" t="str">
        <f>RTD("esrtd",,"XICFZ21-PLM","Symbol")</f>
        <v>XICFZ21-PLM</v>
      </c>
      <c r="B60" t="str">
        <f>RTD("esrtd",,"XICFZ21-PLM","Last")</f>
        <v/>
      </c>
      <c r="C60" t="str">
        <f>RTD("esrtd",,"XICFZ21-PLM","Change")</f>
        <v/>
      </c>
      <c r="D60" t="str">
        <f>RTD("esrtd",,"XICFZ21-PLM","High")</f>
        <v/>
      </c>
      <c r="E60" t="str">
        <f>RTD("esrtd",,"XICFZ21-PLM","Low")</f>
        <v/>
      </c>
      <c r="F60" t="str">
        <f>RTD("esrtd",,"XICFZ21-PLM","Bid")</f>
        <v/>
      </c>
      <c r="G60" t="str">
        <f>RTD("esrtd",,"XICFZ21-PLM","Ask")</f>
        <v/>
      </c>
      <c r="H60" t="str">
        <f>RTD("esrtd",,"XICFZ21-PLM","Cumulative Volume")</f>
        <v/>
      </c>
      <c r="I60" t="str">
        <f>RTD("esrtd",,"XICFZ21-PLM","Open Interest")</f>
        <v/>
      </c>
      <c r="J60" t="str">
        <f>RTD("esrtd",,"XICFZ21-PLM","Recent Settlement")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F4F31-6B9E-4045-873B-79C91B1C2E5F}">
  <dimension ref="A1:F262"/>
  <sheetViews>
    <sheetView tabSelected="1" workbookViewId="0">
      <selection activeCell="F20" sqref="F20:G20"/>
    </sheetView>
  </sheetViews>
  <sheetFormatPr defaultRowHeight="15" x14ac:dyDescent="0.25"/>
  <cols>
    <col min="1" max="1" width="11" bestFit="1" customWidth="1"/>
    <col min="2" max="2" width="24.7109375" bestFit="1" customWidth="1"/>
    <col min="3" max="3" width="25" bestFit="1" customWidth="1"/>
    <col min="4" max="4" width="25.5703125" bestFit="1" customWidth="1"/>
    <col min="5" max="5" width="25.28515625" bestFit="1" customWidth="1"/>
    <col min="6" max="6" width="25" bestFit="1" customWidth="1"/>
  </cols>
  <sheetData>
    <row r="1" spans="1:6" x14ac:dyDescent="0.25"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25">
      <c r="A2" t="str">
        <f ca="1">_xll.ICESeries(B2:F2,B3:F3,,EDATE(TODAY(),-12),TODAY(),,"TimelineMerge=Union","DayOfWeek=12345")</f>
        <v>Time Series</v>
      </c>
      <c r="B2" t="s">
        <v>10</v>
      </c>
      <c r="C2" t="s">
        <v>11</v>
      </c>
      <c r="D2" t="s">
        <v>14</v>
      </c>
      <c r="E2" t="s">
        <v>16</v>
      </c>
      <c r="F2" t="s">
        <v>17</v>
      </c>
    </row>
    <row r="3" spans="1:6" x14ac:dyDescent="0.25">
      <c r="B3" t="s">
        <v>8</v>
      </c>
      <c r="C3" t="s">
        <v>8</v>
      </c>
      <c r="D3" t="s">
        <v>8</v>
      </c>
      <c r="E3" t="s">
        <v>8</v>
      </c>
      <c r="F3" t="s">
        <v>8</v>
      </c>
    </row>
    <row r="4" spans="1:6" x14ac:dyDescent="0.25">
      <c r="B4" t="s">
        <v>12</v>
      </c>
      <c r="C4" t="s">
        <v>13</v>
      </c>
      <c r="D4" t="s">
        <v>15</v>
      </c>
      <c r="E4" t="s">
        <v>18</v>
      </c>
      <c r="F4" t="s">
        <v>19</v>
      </c>
    </row>
    <row r="5" spans="1:6" x14ac:dyDescent="0.25">
      <c r="A5" s="1">
        <f>DATE(2025,8,19)</f>
        <v>45888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s="1">
        <f>DATE(2025,8,18)</f>
        <v>45887</v>
      </c>
      <c r="B6">
        <v>55038</v>
      </c>
      <c r="C6">
        <v>334562</v>
      </c>
      <c r="D6">
        <v>32404</v>
      </c>
      <c r="E6">
        <v>16244</v>
      </c>
      <c r="F6">
        <v>166189</v>
      </c>
    </row>
    <row r="7" spans="1:6" x14ac:dyDescent="0.25">
      <c r="A7" s="1">
        <f>DATE(2025,8,15)</f>
        <v>45884</v>
      </c>
      <c r="B7">
        <v>54467</v>
      </c>
      <c r="C7">
        <v>332925</v>
      </c>
      <c r="D7">
        <v>32139</v>
      </c>
      <c r="E7">
        <v>16114</v>
      </c>
      <c r="F7">
        <v>165785</v>
      </c>
    </row>
    <row r="8" spans="1:6" x14ac:dyDescent="0.25">
      <c r="A8" s="1">
        <f>DATE(2025,8,14)</f>
        <v>45883</v>
      </c>
      <c r="B8">
        <v>52654</v>
      </c>
      <c r="C8">
        <v>331793</v>
      </c>
      <c r="D8">
        <v>32139</v>
      </c>
      <c r="E8">
        <v>16114</v>
      </c>
      <c r="F8">
        <v>165035</v>
      </c>
    </row>
    <row r="9" spans="1:6" x14ac:dyDescent="0.25">
      <c r="A9" s="1">
        <f>DATE(2025,8,13)</f>
        <v>45882</v>
      </c>
      <c r="B9">
        <v>49078</v>
      </c>
      <c r="C9">
        <v>334724</v>
      </c>
      <c r="D9">
        <v>31135</v>
      </c>
      <c r="E9">
        <v>16086</v>
      </c>
      <c r="F9">
        <v>165282</v>
      </c>
    </row>
    <row r="10" spans="1:6" x14ac:dyDescent="0.25">
      <c r="A10" s="1">
        <f>DATE(2025,8,12)</f>
        <v>45881</v>
      </c>
      <c r="B10">
        <v>49075</v>
      </c>
      <c r="C10">
        <v>333519</v>
      </c>
      <c r="D10">
        <v>31129</v>
      </c>
      <c r="E10">
        <v>16084</v>
      </c>
      <c r="F10">
        <v>165259</v>
      </c>
    </row>
    <row r="11" spans="1:6" x14ac:dyDescent="0.25">
      <c r="A11" s="1">
        <f>DATE(2025,8,11)</f>
        <v>45880</v>
      </c>
      <c r="B11">
        <v>49079</v>
      </c>
      <c r="C11">
        <v>332913</v>
      </c>
      <c r="D11">
        <v>31123</v>
      </c>
      <c r="E11">
        <v>16080</v>
      </c>
      <c r="F11">
        <v>164418</v>
      </c>
    </row>
    <row r="12" spans="1:6" x14ac:dyDescent="0.25">
      <c r="A12" s="1">
        <f>DATE(2025,8,8)</f>
        <v>45877</v>
      </c>
      <c r="B12">
        <v>49029</v>
      </c>
      <c r="C12">
        <v>334592</v>
      </c>
      <c r="D12">
        <v>31103</v>
      </c>
      <c r="E12">
        <v>16080</v>
      </c>
      <c r="F12">
        <v>164283</v>
      </c>
    </row>
    <row r="13" spans="1:6" x14ac:dyDescent="0.25">
      <c r="A13" s="1">
        <f>DATE(2025,8,7)</f>
        <v>45876</v>
      </c>
      <c r="B13">
        <v>49035</v>
      </c>
      <c r="C13">
        <v>334273</v>
      </c>
      <c r="D13">
        <v>31046</v>
      </c>
      <c r="E13">
        <v>16080</v>
      </c>
      <c r="F13">
        <v>162523</v>
      </c>
    </row>
    <row r="14" spans="1:6" x14ac:dyDescent="0.25">
      <c r="A14" s="1">
        <f>DATE(2025,8,6)</f>
        <v>45875</v>
      </c>
      <c r="B14">
        <v>49028</v>
      </c>
      <c r="C14">
        <v>335278</v>
      </c>
      <c r="D14">
        <v>30118</v>
      </c>
      <c r="E14">
        <v>16080</v>
      </c>
      <c r="F14">
        <v>162858</v>
      </c>
    </row>
    <row r="15" spans="1:6" x14ac:dyDescent="0.25">
      <c r="A15" s="1">
        <f>DATE(2025,8,5)</f>
        <v>45874</v>
      </c>
      <c r="B15">
        <v>49028</v>
      </c>
      <c r="C15">
        <v>333937</v>
      </c>
      <c r="D15">
        <v>30037</v>
      </c>
      <c r="E15">
        <v>16079</v>
      </c>
      <c r="F15">
        <v>161752</v>
      </c>
    </row>
    <row r="16" spans="1:6" x14ac:dyDescent="0.25">
      <c r="A16" s="1">
        <f>DATE(2025,8,4)</f>
        <v>45873</v>
      </c>
      <c r="B16">
        <v>48952</v>
      </c>
      <c r="C16">
        <v>333839</v>
      </c>
      <c r="D16">
        <v>30018</v>
      </c>
      <c r="E16">
        <v>16079</v>
      </c>
      <c r="F16">
        <v>161155</v>
      </c>
    </row>
    <row r="17" spans="1:6" x14ac:dyDescent="0.25">
      <c r="A17" s="1">
        <f>DATE(2025,8,1)</f>
        <v>45870</v>
      </c>
      <c r="B17">
        <v>48947</v>
      </c>
      <c r="C17">
        <v>335306</v>
      </c>
      <c r="D17">
        <v>29963</v>
      </c>
      <c r="E17">
        <v>16079</v>
      </c>
      <c r="F17">
        <v>160284</v>
      </c>
    </row>
    <row r="18" spans="1:6" x14ac:dyDescent="0.25">
      <c r="A18" s="1">
        <f>DATE(2025,7,31)</f>
        <v>45869</v>
      </c>
      <c r="B18">
        <v>48946</v>
      </c>
      <c r="C18">
        <v>335217</v>
      </c>
      <c r="D18">
        <v>29443</v>
      </c>
      <c r="E18">
        <v>16054</v>
      </c>
      <c r="F18">
        <v>159960</v>
      </c>
    </row>
    <row r="19" spans="1:6" x14ac:dyDescent="0.25">
      <c r="A19" s="1">
        <f>DATE(2025,7,30)</f>
        <v>45868</v>
      </c>
      <c r="B19">
        <v>48458</v>
      </c>
      <c r="C19">
        <v>334621</v>
      </c>
      <c r="D19">
        <v>29466</v>
      </c>
      <c r="E19">
        <v>16054</v>
      </c>
      <c r="F19">
        <v>159968</v>
      </c>
    </row>
    <row r="20" spans="1:6" x14ac:dyDescent="0.25">
      <c r="A20" s="1">
        <f>DATE(2025,7,29)</f>
        <v>45867</v>
      </c>
      <c r="B20">
        <v>48210</v>
      </c>
      <c r="C20">
        <v>335880</v>
      </c>
      <c r="D20">
        <v>29456</v>
      </c>
      <c r="E20">
        <v>16054</v>
      </c>
      <c r="F20">
        <v>159282</v>
      </c>
    </row>
    <row r="21" spans="1:6" x14ac:dyDescent="0.25">
      <c r="A21" s="1">
        <f>DATE(2025,7,28)</f>
        <v>45866</v>
      </c>
      <c r="B21">
        <v>48261</v>
      </c>
      <c r="C21">
        <v>333961</v>
      </c>
      <c r="D21">
        <v>29447</v>
      </c>
      <c r="E21">
        <v>16053</v>
      </c>
      <c r="F21">
        <v>158865</v>
      </c>
    </row>
    <row r="22" spans="1:6" x14ac:dyDescent="0.25">
      <c r="A22" s="1">
        <f>DATE(2025,7,25)</f>
        <v>45863</v>
      </c>
      <c r="B22">
        <v>48208</v>
      </c>
      <c r="C22">
        <v>333078</v>
      </c>
      <c r="D22">
        <v>29391</v>
      </c>
      <c r="E22">
        <v>16051</v>
      </c>
      <c r="F22">
        <v>158379</v>
      </c>
    </row>
    <row r="23" spans="1:6" x14ac:dyDescent="0.25">
      <c r="A23" s="1">
        <f>DATE(2025,7,24)</f>
        <v>45862</v>
      </c>
      <c r="B23">
        <v>48527</v>
      </c>
      <c r="C23">
        <v>332644</v>
      </c>
      <c r="D23">
        <v>29344</v>
      </c>
      <c r="E23">
        <v>16051</v>
      </c>
      <c r="F23">
        <v>158783</v>
      </c>
    </row>
    <row r="24" spans="1:6" x14ac:dyDescent="0.25">
      <c r="A24" s="1">
        <f>DATE(2025,7,23)</f>
        <v>45861</v>
      </c>
      <c r="B24">
        <v>48515</v>
      </c>
      <c r="C24">
        <v>331048</v>
      </c>
      <c r="D24">
        <v>29341</v>
      </c>
      <c r="E24">
        <v>16051</v>
      </c>
      <c r="F24">
        <v>157895</v>
      </c>
    </row>
    <row r="25" spans="1:6" x14ac:dyDescent="0.25">
      <c r="A25" s="1">
        <f>DATE(2025,7,22)</f>
        <v>45860</v>
      </c>
      <c r="B25">
        <v>48536</v>
      </c>
      <c r="C25">
        <v>329710</v>
      </c>
      <c r="D25">
        <v>29291</v>
      </c>
      <c r="E25">
        <v>16048</v>
      </c>
      <c r="F25">
        <v>157083</v>
      </c>
    </row>
    <row r="26" spans="1:6" x14ac:dyDescent="0.25">
      <c r="A26" s="1">
        <f>DATE(2025,7,21)</f>
        <v>45859</v>
      </c>
      <c r="B26">
        <v>48510</v>
      </c>
      <c r="C26">
        <v>328708</v>
      </c>
      <c r="D26">
        <v>28676</v>
      </c>
      <c r="E26">
        <v>16045</v>
      </c>
      <c r="F26">
        <v>155953</v>
      </c>
    </row>
    <row r="27" spans="1:6" x14ac:dyDescent="0.25">
      <c r="A27" s="1">
        <f>DATE(2025,7,18)</f>
        <v>45856</v>
      </c>
      <c r="B27">
        <v>48350</v>
      </c>
      <c r="C27">
        <v>327097</v>
      </c>
      <c r="D27">
        <v>28361</v>
      </c>
      <c r="E27">
        <v>16027</v>
      </c>
      <c r="F27">
        <v>155293</v>
      </c>
    </row>
    <row r="28" spans="1:6" x14ac:dyDescent="0.25">
      <c r="A28" s="1">
        <f>DATE(2025,7,17)</f>
        <v>45855</v>
      </c>
      <c r="B28">
        <v>48330</v>
      </c>
      <c r="C28">
        <v>326066</v>
      </c>
      <c r="D28">
        <v>27846</v>
      </c>
      <c r="E28">
        <v>16025</v>
      </c>
      <c r="F28">
        <v>154555</v>
      </c>
    </row>
    <row r="29" spans="1:6" x14ac:dyDescent="0.25">
      <c r="A29" s="1">
        <f>DATE(2025,7,16)</f>
        <v>45854</v>
      </c>
      <c r="B29">
        <v>48290</v>
      </c>
      <c r="C29">
        <v>326325</v>
      </c>
      <c r="D29">
        <v>27426</v>
      </c>
      <c r="E29">
        <v>16024</v>
      </c>
      <c r="F29">
        <v>153864</v>
      </c>
    </row>
    <row r="30" spans="1:6" x14ac:dyDescent="0.25">
      <c r="A30" s="1">
        <f>DATE(2025,7,15)</f>
        <v>45853</v>
      </c>
      <c r="B30">
        <v>48290</v>
      </c>
      <c r="C30">
        <v>325885</v>
      </c>
      <c r="D30">
        <v>27369</v>
      </c>
      <c r="E30">
        <v>16006</v>
      </c>
      <c r="F30">
        <v>152993</v>
      </c>
    </row>
    <row r="31" spans="1:6" x14ac:dyDescent="0.25">
      <c r="A31" s="1">
        <f>DATE(2025,7,14)</f>
        <v>45852</v>
      </c>
      <c r="B31">
        <v>48290</v>
      </c>
      <c r="C31">
        <v>323301</v>
      </c>
      <c r="D31">
        <v>27355</v>
      </c>
      <c r="E31">
        <v>15982</v>
      </c>
      <c r="F31">
        <v>152111</v>
      </c>
    </row>
    <row r="32" spans="1:6" x14ac:dyDescent="0.25">
      <c r="A32" s="1">
        <f>DATE(2025,7,11)</f>
        <v>45849</v>
      </c>
      <c r="B32">
        <v>48290</v>
      </c>
      <c r="C32">
        <v>321020</v>
      </c>
      <c r="D32">
        <v>27331</v>
      </c>
      <c r="E32">
        <v>15975</v>
      </c>
      <c r="F32">
        <v>151848</v>
      </c>
    </row>
    <row r="33" spans="1:6" x14ac:dyDescent="0.25">
      <c r="A33" s="1">
        <f>DATE(2025,7,10)</f>
        <v>45848</v>
      </c>
      <c r="B33">
        <v>48236</v>
      </c>
      <c r="C33">
        <v>321618</v>
      </c>
      <c r="D33">
        <v>26279</v>
      </c>
      <c r="E33">
        <v>15958</v>
      </c>
      <c r="F33">
        <v>150659</v>
      </c>
    </row>
    <row r="34" spans="1:6" x14ac:dyDescent="0.25">
      <c r="A34" s="1">
        <f>DATE(2025,7,9)</f>
        <v>45847</v>
      </c>
      <c r="B34">
        <v>48121</v>
      </c>
      <c r="C34">
        <v>320154</v>
      </c>
      <c r="D34">
        <v>26263</v>
      </c>
      <c r="E34">
        <v>15955</v>
      </c>
      <c r="F34">
        <v>150687</v>
      </c>
    </row>
    <row r="35" spans="1:6" x14ac:dyDescent="0.25">
      <c r="A35" s="1">
        <f>DATE(2025,7,8)</f>
        <v>45846</v>
      </c>
      <c r="B35">
        <v>47384</v>
      </c>
      <c r="C35">
        <v>319320</v>
      </c>
      <c r="D35">
        <v>26236</v>
      </c>
      <c r="E35">
        <v>15950</v>
      </c>
      <c r="F35">
        <v>149986</v>
      </c>
    </row>
    <row r="36" spans="1:6" x14ac:dyDescent="0.25">
      <c r="A36" s="1">
        <f>DATE(2025,7,7)</f>
        <v>45845</v>
      </c>
      <c r="B36">
        <v>46088</v>
      </c>
      <c r="C36">
        <v>318933</v>
      </c>
      <c r="D36">
        <v>26180</v>
      </c>
      <c r="E36">
        <v>15944</v>
      </c>
      <c r="F36">
        <v>149479</v>
      </c>
    </row>
    <row r="37" spans="1:6" x14ac:dyDescent="0.25">
      <c r="A37" s="1">
        <f>DATE(2025,7,4)</f>
        <v>45842</v>
      </c>
      <c r="B37">
        <v>45908</v>
      </c>
      <c r="C37">
        <v>319160</v>
      </c>
      <c r="D37">
        <v>26167</v>
      </c>
      <c r="E37">
        <v>15922</v>
      </c>
      <c r="F37">
        <v>149447</v>
      </c>
    </row>
    <row r="38" spans="1:6" x14ac:dyDescent="0.25">
      <c r="A38" s="1">
        <f>DATE(2025,7,3)</f>
        <v>45841</v>
      </c>
      <c r="B38">
        <v>45896</v>
      </c>
      <c r="C38">
        <v>318241</v>
      </c>
      <c r="D38">
        <v>26163</v>
      </c>
      <c r="E38">
        <v>15918</v>
      </c>
      <c r="F38">
        <v>149132</v>
      </c>
    </row>
    <row r="39" spans="1:6" x14ac:dyDescent="0.25">
      <c r="A39" s="1">
        <f>DATE(2025,7,2)</f>
        <v>45840</v>
      </c>
      <c r="B39">
        <v>44033</v>
      </c>
      <c r="C39">
        <v>319486</v>
      </c>
      <c r="D39">
        <v>22147</v>
      </c>
      <c r="E39">
        <v>15913</v>
      </c>
      <c r="F39">
        <v>147950</v>
      </c>
    </row>
    <row r="40" spans="1:6" x14ac:dyDescent="0.25">
      <c r="A40" s="1">
        <f>DATE(2025,7,1)</f>
        <v>45839</v>
      </c>
      <c r="B40">
        <v>43816</v>
      </c>
      <c r="C40">
        <v>318476</v>
      </c>
      <c r="D40">
        <v>22099</v>
      </c>
      <c r="E40">
        <v>15913</v>
      </c>
      <c r="F40">
        <v>147288</v>
      </c>
    </row>
    <row r="41" spans="1:6" x14ac:dyDescent="0.25">
      <c r="A41" s="1">
        <f>DATE(2025,6,30)</f>
        <v>45838</v>
      </c>
      <c r="B41">
        <v>43451</v>
      </c>
      <c r="C41">
        <v>319974</v>
      </c>
      <c r="D41">
        <v>22070</v>
      </c>
      <c r="E41">
        <v>15831</v>
      </c>
      <c r="F41">
        <v>147310</v>
      </c>
    </row>
    <row r="42" spans="1:6" x14ac:dyDescent="0.25">
      <c r="A42" s="1">
        <f>DATE(2025,6,27)</f>
        <v>45835</v>
      </c>
      <c r="B42">
        <v>42536</v>
      </c>
      <c r="C42">
        <v>319363</v>
      </c>
      <c r="D42">
        <v>22090</v>
      </c>
      <c r="E42">
        <v>15797</v>
      </c>
      <c r="F42">
        <v>146216</v>
      </c>
    </row>
    <row r="43" spans="1:6" x14ac:dyDescent="0.25">
      <c r="A43" s="1">
        <f>DATE(2025,6,26)</f>
        <v>45834</v>
      </c>
      <c r="B43">
        <v>40059</v>
      </c>
      <c r="C43">
        <v>320370</v>
      </c>
      <c r="D43">
        <v>22093</v>
      </c>
      <c r="E43">
        <v>15793</v>
      </c>
      <c r="F43">
        <v>145781</v>
      </c>
    </row>
    <row r="44" spans="1:6" x14ac:dyDescent="0.25">
      <c r="A44" s="1">
        <f>DATE(2025,6,25)</f>
        <v>45833</v>
      </c>
      <c r="B44">
        <v>32534</v>
      </c>
      <c r="C44">
        <v>322739</v>
      </c>
      <c r="D44">
        <v>22106</v>
      </c>
      <c r="E44">
        <v>15793</v>
      </c>
      <c r="F44">
        <v>144874</v>
      </c>
    </row>
    <row r="45" spans="1:6" x14ac:dyDescent="0.25">
      <c r="A45" s="1">
        <f>DATE(2025,6,24)</f>
        <v>45832</v>
      </c>
      <c r="B45">
        <v>34154</v>
      </c>
      <c r="C45">
        <v>321931</v>
      </c>
      <c r="D45">
        <v>22111</v>
      </c>
      <c r="E45">
        <v>15767</v>
      </c>
      <c r="F45">
        <v>143864</v>
      </c>
    </row>
    <row r="46" spans="1:6" x14ac:dyDescent="0.25">
      <c r="A46" s="1">
        <f>DATE(2025,6,23)</f>
        <v>45831</v>
      </c>
      <c r="B46">
        <v>33248</v>
      </c>
      <c r="C46">
        <v>324446</v>
      </c>
      <c r="D46">
        <v>22093</v>
      </c>
      <c r="E46">
        <v>15765</v>
      </c>
      <c r="F46">
        <v>143661</v>
      </c>
    </row>
    <row r="47" spans="1:6" x14ac:dyDescent="0.25">
      <c r="A47" s="1">
        <f>DATE(2025,6,20)</f>
        <v>45828</v>
      </c>
      <c r="B47">
        <v>32748</v>
      </c>
      <c r="C47">
        <v>324690</v>
      </c>
      <c r="D47">
        <v>22083</v>
      </c>
      <c r="E47">
        <v>15711</v>
      </c>
      <c r="F47">
        <v>141607</v>
      </c>
    </row>
    <row r="48" spans="1:6" x14ac:dyDescent="0.25">
      <c r="A48" s="1">
        <f>DATE(2025,6,19)</f>
        <v>45827</v>
      </c>
      <c r="B48">
        <v>29868</v>
      </c>
      <c r="C48">
        <v>325610</v>
      </c>
      <c r="D48">
        <v>21978</v>
      </c>
      <c r="E48">
        <v>15711</v>
      </c>
      <c r="F48">
        <v>141254</v>
      </c>
    </row>
    <row r="49" spans="1:6" x14ac:dyDescent="0.25">
      <c r="A49" s="1">
        <f>DATE(2025,6,18)</f>
        <v>45826</v>
      </c>
      <c r="B49">
        <v>29755</v>
      </c>
      <c r="C49">
        <v>324035</v>
      </c>
      <c r="D49">
        <v>21941</v>
      </c>
      <c r="E49">
        <v>15590</v>
      </c>
      <c r="F49">
        <v>141078</v>
      </c>
    </row>
    <row r="50" spans="1:6" x14ac:dyDescent="0.25">
      <c r="A50" s="1">
        <f>DATE(2025,6,17)</f>
        <v>45825</v>
      </c>
      <c r="B50">
        <v>29755</v>
      </c>
      <c r="C50">
        <v>325145</v>
      </c>
      <c r="D50">
        <v>21924</v>
      </c>
      <c r="E50">
        <v>15586</v>
      </c>
      <c r="F50">
        <v>140266</v>
      </c>
    </row>
    <row r="51" spans="1:6" x14ac:dyDescent="0.25">
      <c r="A51" s="1">
        <f>DATE(2025,6,16)</f>
        <v>45824</v>
      </c>
      <c r="B51">
        <v>29945</v>
      </c>
      <c r="C51">
        <v>323780</v>
      </c>
      <c r="D51">
        <v>21902</v>
      </c>
      <c r="E51">
        <v>15585</v>
      </c>
      <c r="F51">
        <v>139680</v>
      </c>
    </row>
    <row r="52" spans="1:6" x14ac:dyDescent="0.25">
      <c r="A52" s="1">
        <f>DATE(2025,6,13)</f>
        <v>45821</v>
      </c>
      <c r="B52">
        <v>29788</v>
      </c>
      <c r="C52">
        <v>323965</v>
      </c>
      <c r="D52">
        <v>21895</v>
      </c>
      <c r="E52">
        <v>15585</v>
      </c>
      <c r="F52">
        <v>139317</v>
      </c>
    </row>
    <row r="53" spans="1:6" x14ac:dyDescent="0.25">
      <c r="A53" s="1">
        <f>DATE(2025,6,12)</f>
        <v>45820</v>
      </c>
      <c r="B53">
        <v>29786</v>
      </c>
      <c r="C53">
        <v>324500</v>
      </c>
      <c r="D53">
        <v>21872</v>
      </c>
      <c r="E53">
        <v>15580</v>
      </c>
      <c r="F53">
        <v>139012</v>
      </c>
    </row>
    <row r="54" spans="1:6" x14ac:dyDescent="0.25">
      <c r="A54" s="1">
        <f>DATE(2025,6,11)</f>
        <v>45819</v>
      </c>
      <c r="B54">
        <v>29802</v>
      </c>
      <c r="C54">
        <v>322494</v>
      </c>
      <c r="D54">
        <v>21864</v>
      </c>
      <c r="E54">
        <v>15492</v>
      </c>
      <c r="F54">
        <v>138712</v>
      </c>
    </row>
    <row r="55" spans="1:6" x14ac:dyDescent="0.25">
      <c r="A55" s="1">
        <f>DATE(2025,6,10)</f>
        <v>45818</v>
      </c>
      <c r="B55">
        <v>29807</v>
      </c>
      <c r="C55">
        <v>320699</v>
      </c>
      <c r="D55">
        <v>21824</v>
      </c>
      <c r="E55">
        <v>15492</v>
      </c>
      <c r="F55">
        <v>137682</v>
      </c>
    </row>
    <row r="56" spans="1:6" x14ac:dyDescent="0.25">
      <c r="A56" s="1">
        <f>DATE(2025,6,9)</f>
        <v>45817</v>
      </c>
      <c r="B56">
        <v>29507</v>
      </c>
      <c r="C56">
        <v>320734</v>
      </c>
      <c r="D56">
        <v>21788</v>
      </c>
      <c r="E56">
        <v>15489</v>
      </c>
      <c r="F56">
        <v>135467</v>
      </c>
    </row>
    <row r="57" spans="1:6" x14ac:dyDescent="0.25">
      <c r="A57" s="1">
        <f>DATE(2025,6,6)</f>
        <v>45814</v>
      </c>
      <c r="B57">
        <v>29495</v>
      </c>
      <c r="C57">
        <v>321022</v>
      </c>
      <c r="D57">
        <v>21780</v>
      </c>
      <c r="E57">
        <v>15489</v>
      </c>
      <c r="F57">
        <v>135063</v>
      </c>
    </row>
    <row r="58" spans="1:6" x14ac:dyDescent="0.25">
      <c r="A58" s="1">
        <f>DATE(2025,6,5)</f>
        <v>45813</v>
      </c>
      <c r="B58">
        <v>29495</v>
      </c>
      <c r="C58">
        <v>321194</v>
      </c>
      <c r="D58">
        <v>21775</v>
      </c>
      <c r="E58">
        <v>15489</v>
      </c>
      <c r="F58">
        <v>134947</v>
      </c>
    </row>
    <row r="59" spans="1:6" x14ac:dyDescent="0.25">
      <c r="A59" s="1">
        <f>DATE(2025,6,4)</f>
        <v>45812</v>
      </c>
      <c r="B59">
        <v>28625</v>
      </c>
      <c r="C59">
        <v>320187</v>
      </c>
      <c r="D59">
        <v>21522</v>
      </c>
      <c r="E59">
        <v>15439</v>
      </c>
      <c r="F59">
        <v>134377</v>
      </c>
    </row>
    <row r="60" spans="1:6" x14ac:dyDescent="0.25">
      <c r="A60" s="1">
        <f>DATE(2025,6,3)</f>
        <v>45811</v>
      </c>
      <c r="B60">
        <v>28625</v>
      </c>
      <c r="C60">
        <v>319824</v>
      </c>
      <c r="D60">
        <v>21515</v>
      </c>
      <c r="E60">
        <v>15436</v>
      </c>
      <c r="F60">
        <v>134162</v>
      </c>
    </row>
    <row r="61" spans="1:6" x14ac:dyDescent="0.25">
      <c r="A61" s="1">
        <f>DATE(2025,6,2)</f>
        <v>45810</v>
      </c>
      <c r="B61">
        <v>28625</v>
      </c>
      <c r="C61">
        <v>317426</v>
      </c>
      <c r="D61">
        <v>21513</v>
      </c>
      <c r="E61">
        <v>15431</v>
      </c>
      <c r="F61">
        <v>134076</v>
      </c>
    </row>
    <row r="62" spans="1:6" x14ac:dyDescent="0.25">
      <c r="A62" s="1">
        <f>DATE(2025,5,30)</f>
        <v>45807</v>
      </c>
      <c r="B62">
        <v>28625</v>
      </c>
      <c r="C62">
        <v>317555</v>
      </c>
      <c r="D62">
        <v>21513</v>
      </c>
      <c r="E62">
        <v>15428</v>
      </c>
      <c r="F62">
        <v>134058</v>
      </c>
    </row>
    <row r="63" spans="1:6" x14ac:dyDescent="0.25">
      <c r="A63" s="1">
        <f>DATE(2025,5,29)</f>
        <v>45806</v>
      </c>
      <c r="B63">
        <v>26625</v>
      </c>
      <c r="C63">
        <v>320491</v>
      </c>
      <c r="D63">
        <v>21498</v>
      </c>
      <c r="E63">
        <v>15425</v>
      </c>
      <c r="F63">
        <v>134450</v>
      </c>
    </row>
    <row r="64" spans="1:6" x14ac:dyDescent="0.25">
      <c r="A64" s="1">
        <f>DATE(2025,5,28)</f>
        <v>45805</v>
      </c>
      <c r="B64">
        <v>26367</v>
      </c>
      <c r="C64">
        <v>320932</v>
      </c>
      <c r="D64">
        <v>21499</v>
      </c>
      <c r="E64">
        <v>15314</v>
      </c>
      <c r="F64">
        <v>133557</v>
      </c>
    </row>
    <row r="65" spans="1:6" x14ac:dyDescent="0.25">
      <c r="A65" s="1">
        <f>DATE(2025,5,27)</f>
        <v>45804</v>
      </c>
      <c r="B65">
        <v>26367</v>
      </c>
      <c r="C65">
        <v>318101</v>
      </c>
      <c r="D65">
        <v>21483</v>
      </c>
      <c r="E65">
        <v>15311</v>
      </c>
      <c r="F65">
        <v>131923</v>
      </c>
    </row>
    <row r="66" spans="1:6" x14ac:dyDescent="0.25">
      <c r="A66" s="1">
        <f>DATE(2025,5,26)</f>
        <v>45803</v>
      </c>
      <c r="B66">
        <v>26217</v>
      </c>
      <c r="C66">
        <v>316769</v>
      </c>
      <c r="D66">
        <v>21445</v>
      </c>
      <c r="E66">
        <v>15301</v>
      </c>
      <c r="F66">
        <v>131071</v>
      </c>
    </row>
    <row r="67" spans="1:6" x14ac:dyDescent="0.25">
      <c r="A67" s="1">
        <f>DATE(2025,5,23)</f>
        <v>45800</v>
      </c>
      <c r="B67">
        <v>26217</v>
      </c>
      <c r="C67">
        <v>317448</v>
      </c>
      <c r="D67">
        <v>21403</v>
      </c>
      <c r="E67">
        <v>15301</v>
      </c>
      <c r="F67">
        <v>131000</v>
      </c>
    </row>
    <row r="68" spans="1:6" x14ac:dyDescent="0.25">
      <c r="A68" s="1">
        <f>DATE(2025,5,22)</f>
        <v>45799</v>
      </c>
      <c r="B68">
        <v>26217</v>
      </c>
      <c r="C68">
        <v>318727</v>
      </c>
      <c r="D68">
        <v>21398</v>
      </c>
      <c r="E68">
        <v>15293</v>
      </c>
      <c r="F68">
        <v>130192</v>
      </c>
    </row>
    <row r="69" spans="1:6" x14ac:dyDescent="0.25">
      <c r="A69" s="1">
        <f>DATE(2025,5,21)</f>
        <v>45798</v>
      </c>
      <c r="B69">
        <v>26217</v>
      </c>
      <c r="C69">
        <v>318115</v>
      </c>
      <c r="D69">
        <v>21391</v>
      </c>
      <c r="E69">
        <v>15279</v>
      </c>
      <c r="F69">
        <v>130222</v>
      </c>
    </row>
    <row r="70" spans="1:6" x14ac:dyDescent="0.25">
      <c r="A70" s="1">
        <f>DATE(2025,5,20)</f>
        <v>45797</v>
      </c>
      <c r="B70">
        <v>26217</v>
      </c>
      <c r="C70">
        <v>317798</v>
      </c>
      <c r="D70">
        <v>21368</v>
      </c>
      <c r="E70">
        <v>15251</v>
      </c>
      <c r="F70">
        <v>130033</v>
      </c>
    </row>
    <row r="71" spans="1:6" x14ac:dyDescent="0.25">
      <c r="A71" s="1">
        <f>DATE(2025,5,19)</f>
        <v>45796</v>
      </c>
      <c r="B71">
        <v>26217</v>
      </c>
      <c r="C71">
        <v>316698</v>
      </c>
      <c r="D71">
        <v>21361</v>
      </c>
      <c r="E71">
        <v>15248</v>
      </c>
      <c r="F71">
        <v>129719</v>
      </c>
    </row>
    <row r="72" spans="1:6" x14ac:dyDescent="0.25">
      <c r="A72" s="1">
        <f>DATE(2025,5,16)</f>
        <v>45793</v>
      </c>
      <c r="B72">
        <v>26217</v>
      </c>
      <c r="C72">
        <v>317705</v>
      </c>
      <c r="D72">
        <v>21349</v>
      </c>
      <c r="E72">
        <v>15234</v>
      </c>
      <c r="F72">
        <v>126662</v>
      </c>
    </row>
    <row r="73" spans="1:6" x14ac:dyDescent="0.25">
      <c r="A73" s="1">
        <f>DATE(2025,5,15)</f>
        <v>45792</v>
      </c>
      <c r="B73">
        <v>25937</v>
      </c>
      <c r="C73">
        <v>317478</v>
      </c>
      <c r="D73">
        <v>21328</v>
      </c>
      <c r="E73">
        <v>15234</v>
      </c>
      <c r="F73">
        <v>126329</v>
      </c>
    </row>
    <row r="74" spans="1:6" x14ac:dyDescent="0.25">
      <c r="A74" s="1">
        <f>DATE(2025,5,14)</f>
        <v>45791</v>
      </c>
      <c r="B74">
        <v>25938</v>
      </c>
      <c r="C74">
        <v>318806</v>
      </c>
      <c r="D74">
        <v>21321</v>
      </c>
      <c r="E74">
        <v>15229</v>
      </c>
      <c r="F74">
        <v>126269</v>
      </c>
    </row>
    <row r="75" spans="1:6" x14ac:dyDescent="0.25">
      <c r="A75" s="1">
        <f>DATE(2025,5,13)</f>
        <v>45790</v>
      </c>
      <c r="B75">
        <v>25926</v>
      </c>
      <c r="C75">
        <v>318809</v>
      </c>
      <c r="D75">
        <v>21275</v>
      </c>
      <c r="E75">
        <v>15118</v>
      </c>
      <c r="F75">
        <v>126146</v>
      </c>
    </row>
    <row r="76" spans="1:6" x14ac:dyDescent="0.25">
      <c r="A76" s="1">
        <f>DATE(2025,5,12)</f>
        <v>45789</v>
      </c>
      <c r="B76">
        <v>25926</v>
      </c>
      <c r="C76">
        <v>322318</v>
      </c>
      <c r="D76">
        <v>21275</v>
      </c>
      <c r="E76">
        <v>15109</v>
      </c>
      <c r="F76">
        <v>125191</v>
      </c>
    </row>
    <row r="77" spans="1:6" x14ac:dyDescent="0.25">
      <c r="A77" s="1">
        <f>DATE(2025,5,9)</f>
        <v>45786</v>
      </c>
      <c r="B77">
        <v>25926</v>
      </c>
      <c r="C77">
        <v>323552</v>
      </c>
      <c r="D77">
        <v>21277</v>
      </c>
      <c r="E77">
        <v>15059</v>
      </c>
      <c r="F77">
        <v>124559</v>
      </c>
    </row>
    <row r="78" spans="1:6" x14ac:dyDescent="0.25">
      <c r="A78" s="1">
        <f>DATE(2025,5,8)</f>
        <v>45785</v>
      </c>
      <c r="B78">
        <v>25675</v>
      </c>
      <c r="C78">
        <v>324400</v>
      </c>
      <c r="D78">
        <v>21262</v>
      </c>
      <c r="E78">
        <v>15056</v>
      </c>
      <c r="F78">
        <v>123029</v>
      </c>
    </row>
    <row r="79" spans="1:6" x14ac:dyDescent="0.25">
      <c r="A79" s="1">
        <f>DATE(2025,5,7)</f>
        <v>45784</v>
      </c>
      <c r="B79">
        <v>25675</v>
      </c>
      <c r="C79">
        <v>325047</v>
      </c>
      <c r="D79">
        <v>21413</v>
      </c>
      <c r="E79">
        <v>15041</v>
      </c>
      <c r="F79">
        <v>122900</v>
      </c>
    </row>
    <row r="80" spans="1:6" x14ac:dyDescent="0.25">
      <c r="A80" s="1">
        <f>DATE(2025,5,6)</f>
        <v>45783</v>
      </c>
      <c r="B80">
        <v>24625</v>
      </c>
      <c r="C80">
        <v>328301</v>
      </c>
      <c r="D80">
        <v>21423</v>
      </c>
      <c r="E80">
        <v>15008</v>
      </c>
      <c r="F80">
        <v>122781</v>
      </c>
    </row>
    <row r="81" spans="1:6" x14ac:dyDescent="0.25">
      <c r="A81" s="1">
        <f>DATE(2025,5,5)</f>
        <v>45782</v>
      </c>
      <c r="B81">
        <v>24626</v>
      </c>
      <c r="C81">
        <v>327642</v>
      </c>
      <c r="D81">
        <v>21415</v>
      </c>
      <c r="E81">
        <v>15003</v>
      </c>
      <c r="F81">
        <v>122489</v>
      </c>
    </row>
    <row r="82" spans="1:6" x14ac:dyDescent="0.25">
      <c r="A82" s="1">
        <f>DATE(2025,5,2)</f>
        <v>45779</v>
      </c>
      <c r="B82">
        <v>24626</v>
      </c>
      <c r="C82">
        <v>327584</v>
      </c>
      <c r="D82">
        <v>21413</v>
      </c>
      <c r="E82">
        <v>14988</v>
      </c>
      <c r="F82">
        <v>122317</v>
      </c>
    </row>
    <row r="83" spans="1:6" x14ac:dyDescent="0.25">
      <c r="A83" s="1">
        <f>DATE(2025,5,1)</f>
        <v>45778</v>
      </c>
      <c r="B83">
        <v>24626</v>
      </c>
      <c r="C83">
        <v>328038</v>
      </c>
      <c r="D83">
        <v>21411</v>
      </c>
      <c r="E83">
        <v>14988</v>
      </c>
      <c r="F83">
        <v>122490</v>
      </c>
    </row>
    <row r="84" spans="1:6" x14ac:dyDescent="0.25">
      <c r="A84" s="1">
        <f>DATE(2025,4,30)</f>
        <v>45777</v>
      </c>
      <c r="B84">
        <v>24626</v>
      </c>
      <c r="C84">
        <v>329167</v>
      </c>
      <c r="D84">
        <v>21411</v>
      </c>
      <c r="E84">
        <v>14988</v>
      </c>
      <c r="F84">
        <v>122383</v>
      </c>
    </row>
    <row r="85" spans="1:6" x14ac:dyDescent="0.25">
      <c r="A85" s="1">
        <f>DATE(2025,4,29)</f>
        <v>45776</v>
      </c>
      <c r="B85">
        <v>24626</v>
      </c>
      <c r="C85">
        <v>331622</v>
      </c>
      <c r="D85">
        <v>21411</v>
      </c>
      <c r="E85">
        <v>14985</v>
      </c>
      <c r="F85">
        <v>122385</v>
      </c>
    </row>
    <row r="86" spans="1:6" x14ac:dyDescent="0.25">
      <c r="A86" s="1">
        <f>DATE(2025,4,28)</f>
        <v>45775</v>
      </c>
      <c r="B86">
        <v>24625</v>
      </c>
      <c r="C86">
        <v>328527</v>
      </c>
      <c r="D86">
        <v>21402</v>
      </c>
      <c r="E86">
        <v>14985</v>
      </c>
      <c r="F86">
        <v>122362</v>
      </c>
    </row>
    <row r="87" spans="1:6" x14ac:dyDescent="0.25">
      <c r="A87" s="1">
        <f>DATE(2025,4,25)</f>
        <v>45772</v>
      </c>
      <c r="B87">
        <v>24624</v>
      </c>
      <c r="C87">
        <v>328566</v>
      </c>
      <c r="D87">
        <v>21395</v>
      </c>
      <c r="E87">
        <v>14981</v>
      </c>
      <c r="F87">
        <v>122041</v>
      </c>
    </row>
    <row r="88" spans="1:6" x14ac:dyDescent="0.25">
      <c r="A88" s="1">
        <f>DATE(2025,4,24)</f>
        <v>45771</v>
      </c>
      <c r="B88">
        <v>24624</v>
      </c>
      <c r="C88">
        <v>328740</v>
      </c>
      <c r="D88">
        <v>21395</v>
      </c>
      <c r="E88">
        <v>14981</v>
      </c>
      <c r="F88">
        <v>121644</v>
      </c>
    </row>
    <row r="89" spans="1:6" x14ac:dyDescent="0.25">
      <c r="A89" s="1">
        <f>DATE(2025,4,23)</f>
        <v>45770</v>
      </c>
      <c r="B89">
        <v>24624</v>
      </c>
      <c r="C89">
        <v>328807</v>
      </c>
      <c r="D89">
        <v>21388</v>
      </c>
      <c r="E89">
        <v>14981</v>
      </c>
      <c r="F89">
        <v>120938</v>
      </c>
    </row>
    <row r="90" spans="1:6" x14ac:dyDescent="0.25">
      <c r="A90" s="1">
        <f>DATE(2025,4,22)</f>
        <v>45769</v>
      </c>
      <c r="B90">
        <v>24524</v>
      </c>
      <c r="C90">
        <v>329625</v>
      </c>
      <c r="D90">
        <v>21288</v>
      </c>
      <c r="E90">
        <v>14981</v>
      </c>
      <c r="F90">
        <v>120854</v>
      </c>
    </row>
    <row r="91" spans="1:6" x14ac:dyDescent="0.25">
      <c r="A91" s="1">
        <f>DATE(2025,4,21)</f>
        <v>45768</v>
      </c>
      <c r="B91">
        <v>24524</v>
      </c>
      <c r="C91">
        <v>328126</v>
      </c>
      <c r="D91">
        <v>21270</v>
      </c>
      <c r="E91">
        <v>14936</v>
      </c>
      <c r="F91">
        <v>119789</v>
      </c>
    </row>
    <row r="92" spans="1:6" x14ac:dyDescent="0.25">
      <c r="A92" s="1">
        <f>DATE(2025,4,17)</f>
        <v>45764</v>
      </c>
      <c r="B92">
        <v>24524</v>
      </c>
      <c r="C92">
        <v>328130</v>
      </c>
      <c r="D92">
        <v>21270</v>
      </c>
      <c r="E92">
        <v>14936</v>
      </c>
      <c r="F92">
        <v>119789</v>
      </c>
    </row>
    <row r="93" spans="1:6" x14ac:dyDescent="0.25">
      <c r="A93" s="1">
        <f>DATE(2025,4,16)</f>
        <v>45763</v>
      </c>
      <c r="B93">
        <v>24523</v>
      </c>
      <c r="C93">
        <v>327733</v>
      </c>
      <c r="D93">
        <v>21243</v>
      </c>
      <c r="E93">
        <v>14901</v>
      </c>
      <c r="F93">
        <v>119296</v>
      </c>
    </row>
    <row r="94" spans="1:6" x14ac:dyDescent="0.25">
      <c r="A94" s="1">
        <f>DATE(2025,4,15)</f>
        <v>45762</v>
      </c>
      <c r="B94">
        <v>24322</v>
      </c>
      <c r="C94">
        <v>328550</v>
      </c>
      <c r="D94">
        <v>21229</v>
      </c>
      <c r="E94">
        <v>14880</v>
      </c>
      <c r="F94">
        <v>118373</v>
      </c>
    </row>
    <row r="95" spans="1:6" x14ac:dyDescent="0.25">
      <c r="A95" s="1">
        <f>DATE(2025,4,14)</f>
        <v>45761</v>
      </c>
      <c r="B95">
        <v>24271</v>
      </c>
      <c r="C95">
        <v>327744</v>
      </c>
      <c r="D95">
        <v>21201</v>
      </c>
      <c r="E95">
        <v>14871</v>
      </c>
      <c r="F95">
        <v>117664</v>
      </c>
    </row>
    <row r="96" spans="1:6" x14ac:dyDescent="0.25">
      <c r="A96" s="1">
        <f>DATE(2025,4,11)</f>
        <v>45758</v>
      </c>
      <c r="B96">
        <v>24271</v>
      </c>
      <c r="C96">
        <v>328218</v>
      </c>
      <c r="D96">
        <v>21166</v>
      </c>
      <c r="E96">
        <v>14871</v>
      </c>
      <c r="F96">
        <v>117150</v>
      </c>
    </row>
    <row r="97" spans="1:6" x14ac:dyDescent="0.25">
      <c r="A97" s="1">
        <f>DATE(2025,4,10)</f>
        <v>45757</v>
      </c>
      <c r="B97">
        <v>24264</v>
      </c>
      <c r="C97">
        <v>328856</v>
      </c>
      <c r="D97">
        <v>21150</v>
      </c>
      <c r="E97">
        <v>14871</v>
      </c>
      <c r="F97">
        <v>115703</v>
      </c>
    </row>
    <row r="98" spans="1:6" x14ac:dyDescent="0.25">
      <c r="A98" s="1">
        <f>DATE(2025,4,9)</f>
        <v>45756</v>
      </c>
      <c r="B98">
        <v>24263</v>
      </c>
      <c r="C98">
        <v>329497</v>
      </c>
      <c r="D98">
        <v>21076</v>
      </c>
      <c r="E98">
        <v>14850</v>
      </c>
      <c r="F98">
        <v>115523</v>
      </c>
    </row>
    <row r="99" spans="1:6" x14ac:dyDescent="0.25">
      <c r="A99" s="1">
        <f>DATE(2025,4,8)</f>
        <v>45755</v>
      </c>
      <c r="B99">
        <v>24263</v>
      </c>
      <c r="C99">
        <v>329531</v>
      </c>
      <c r="D99">
        <v>21035</v>
      </c>
      <c r="E99">
        <v>14649</v>
      </c>
      <c r="F99">
        <v>112870</v>
      </c>
    </row>
    <row r="100" spans="1:6" x14ac:dyDescent="0.25">
      <c r="A100" s="1">
        <f>DATE(2025,4,7)</f>
        <v>45754</v>
      </c>
      <c r="B100">
        <v>24262</v>
      </c>
      <c r="C100">
        <v>330726</v>
      </c>
      <c r="D100">
        <v>21023</v>
      </c>
      <c r="E100">
        <v>14649</v>
      </c>
      <c r="F100">
        <v>110491</v>
      </c>
    </row>
    <row r="101" spans="1:6" x14ac:dyDescent="0.25">
      <c r="A101" s="1">
        <f>DATE(2025,4,4)</f>
        <v>45751</v>
      </c>
      <c r="B101">
        <v>24260</v>
      </c>
      <c r="C101">
        <v>331383</v>
      </c>
      <c r="D101">
        <v>18009</v>
      </c>
      <c r="E101">
        <v>14563</v>
      </c>
      <c r="F101">
        <v>109106</v>
      </c>
    </row>
    <row r="102" spans="1:6" x14ac:dyDescent="0.25">
      <c r="A102" s="1">
        <f>DATE(2025,4,3)</f>
        <v>45750</v>
      </c>
      <c r="B102">
        <v>24089</v>
      </c>
      <c r="C102">
        <v>336361</v>
      </c>
      <c r="D102">
        <v>17980</v>
      </c>
      <c r="E102">
        <v>14421</v>
      </c>
      <c r="F102">
        <v>106135</v>
      </c>
    </row>
    <row r="103" spans="1:6" x14ac:dyDescent="0.25">
      <c r="A103" s="1">
        <f>DATE(2025,4,2)</f>
        <v>45749</v>
      </c>
      <c r="B103">
        <v>23788</v>
      </c>
      <c r="C103">
        <v>336480</v>
      </c>
      <c r="D103">
        <v>17969</v>
      </c>
      <c r="E103">
        <v>14295</v>
      </c>
      <c r="F103">
        <v>103490</v>
      </c>
    </row>
    <row r="104" spans="1:6" x14ac:dyDescent="0.25">
      <c r="A104" s="1">
        <f>DATE(2025,4,1)</f>
        <v>45748</v>
      </c>
      <c r="B104">
        <v>23786</v>
      </c>
      <c r="C104">
        <v>333401</v>
      </c>
      <c r="D104">
        <v>17964</v>
      </c>
      <c r="E104">
        <v>14295</v>
      </c>
      <c r="F104">
        <v>103879</v>
      </c>
    </row>
    <row r="105" spans="1:6" x14ac:dyDescent="0.25">
      <c r="A105" s="1">
        <f>DATE(2025,3,31)</f>
        <v>45747</v>
      </c>
      <c r="B105">
        <v>23786</v>
      </c>
      <c r="C105">
        <v>330277</v>
      </c>
      <c r="D105">
        <v>17949</v>
      </c>
      <c r="E105">
        <v>14295</v>
      </c>
      <c r="F105">
        <v>104263</v>
      </c>
    </row>
    <row r="106" spans="1:6" x14ac:dyDescent="0.25">
      <c r="A106" s="1">
        <f>DATE(2025,3,28)</f>
        <v>45744</v>
      </c>
      <c r="B106">
        <v>23636</v>
      </c>
      <c r="C106">
        <v>330548</v>
      </c>
      <c r="D106">
        <v>17930</v>
      </c>
      <c r="E106">
        <v>14236</v>
      </c>
      <c r="F106">
        <v>103844</v>
      </c>
    </row>
    <row r="107" spans="1:6" x14ac:dyDescent="0.25">
      <c r="A107" s="1">
        <f>DATE(2025,3,27)</f>
        <v>45743</v>
      </c>
      <c r="B107">
        <v>23596</v>
      </c>
      <c r="C107">
        <v>330741</v>
      </c>
      <c r="D107">
        <v>17927</v>
      </c>
      <c r="E107">
        <v>13036</v>
      </c>
      <c r="F107">
        <v>103166</v>
      </c>
    </row>
    <row r="108" spans="1:6" x14ac:dyDescent="0.25">
      <c r="A108" s="1">
        <f>DATE(2025,3,26)</f>
        <v>45742</v>
      </c>
      <c r="B108">
        <v>22815</v>
      </c>
      <c r="C108">
        <v>331610</v>
      </c>
      <c r="D108">
        <v>17896</v>
      </c>
      <c r="E108">
        <v>12961</v>
      </c>
      <c r="F108">
        <v>102355</v>
      </c>
    </row>
    <row r="109" spans="1:6" x14ac:dyDescent="0.25">
      <c r="A109" s="1">
        <f>DATE(2025,3,25)</f>
        <v>45741</v>
      </c>
      <c r="B109">
        <v>23019</v>
      </c>
      <c r="C109">
        <v>331662</v>
      </c>
      <c r="D109">
        <v>17893</v>
      </c>
      <c r="E109">
        <v>12961</v>
      </c>
      <c r="F109">
        <v>101579</v>
      </c>
    </row>
    <row r="110" spans="1:6" x14ac:dyDescent="0.25">
      <c r="A110" s="1">
        <f>DATE(2025,3,24)</f>
        <v>45740</v>
      </c>
      <c r="B110">
        <v>23018</v>
      </c>
      <c r="C110">
        <v>330494</v>
      </c>
      <c r="D110">
        <v>17891</v>
      </c>
      <c r="E110">
        <v>12957</v>
      </c>
      <c r="F110">
        <v>101084</v>
      </c>
    </row>
    <row r="111" spans="1:6" x14ac:dyDescent="0.25">
      <c r="A111" s="1">
        <f>DATE(2025,3,21)</f>
        <v>45737</v>
      </c>
      <c r="B111">
        <v>23018</v>
      </c>
      <c r="C111">
        <v>330421</v>
      </c>
      <c r="D111">
        <v>17876</v>
      </c>
      <c r="E111">
        <v>12951</v>
      </c>
      <c r="F111">
        <v>101012</v>
      </c>
    </row>
    <row r="112" spans="1:6" x14ac:dyDescent="0.25">
      <c r="A112" s="1">
        <f>DATE(2025,3,20)</f>
        <v>45736</v>
      </c>
      <c r="B112">
        <v>23016</v>
      </c>
      <c r="C112">
        <v>329253</v>
      </c>
      <c r="D112">
        <v>17841</v>
      </c>
      <c r="E112">
        <v>10931</v>
      </c>
      <c r="F112">
        <v>99097</v>
      </c>
    </row>
    <row r="113" spans="1:6" x14ac:dyDescent="0.25">
      <c r="A113" s="1">
        <f>DATE(2025,3,19)</f>
        <v>45735</v>
      </c>
      <c r="B113">
        <v>22777</v>
      </c>
      <c r="C113">
        <v>328614</v>
      </c>
      <c r="D113">
        <v>17829</v>
      </c>
      <c r="E113">
        <v>10911</v>
      </c>
      <c r="F113">
        <v>98997</v>
      </c>
    </row>
    <row r="114" spans="1:6" x14ac:dyDescent="0.25">
      <c r="A114" s="1">
        <f>DATE(2025,3,18)</f>
        <v>45734</v>
      </c>
      <c r="B114">
        <v>23980</v>
      </c>
      <c r="C114">
        <v>326310</v>
      </c>
      <c r="D114">
        <v>17718</v>
      </c>
      <c r="E114">
        <v>10911</v>
      </c>
      <c r="F114">
        <v>98845</v>
      </c>
    </row>
    <row r="115" spans="1:6" x14ac:dyDescent="0.25">
      <c r="A115" s="1">
        <f>DATE(2025,3,17)</f>
        <v>45733</v>
      </c>
      <c r="B115">
        <v>23980</v>
      </c>
      <c r="C115">
        <v>322939</v>
      </c>
      <c r="D115">
        <v>17707</v>
      </c>
      <c r="E115">
        <v>10899</v>
      </c>
      <c r="F115">
        <v>97897</v>
      </c>
    </row>
    <row r="116" spans="1:6" x14ac:dyDescent="0.25">
      <c r="A116" s="1">
        <f>DATE(2025,3,14)</f>
        <v>45730</v>
      </c>
      <c r="B116">
        <v>23980</v>
      </c>
      <c r="C116">
        <v>322745</v>
      </c>
      <c r="D116">
        <v>17684</v>
      </c>
      <c r="E116">
        <v>10752</v>
      </c>
      <c r="F116">
        <v>97621</v>
      </c>
    </row>
    <row r="117" spans="1:6" x14ac:dyDescent="0.25">
      <c r="A117" s="1">
        <f>DATE(2025,3,13)</f>
        <v>45729</v>
      </c>
      <c r="B117">
        <v>23980</v>
      </c>
      <c r="C117">
        <v>321147</v>
      </c>
      <c r="D117">
        <v>17672</v>
      </c>
      <c r="E117">
        <v>10750</v>
      </c>
      <c r="F117">
        <v>96935</v>
      </c>
    </row>
    <row r="118" spans="1:6" x14ac:dyDescent="0.25">
      <c r="A118" s="1">
        <f>DATE(2025,3,12)</f>
        <v>45728</v>
      </c>
      <c r="B118">
        <v>23979</v>
      </c>
      <c r="C118">
        <v>320702</v>
      </c>
      <c r="D118">
        <v>17649</v>
      </c>
      <c r="E118">
        <v>10740</v>
      </c>
      <c r="F118">
        <v>96699</v>
      </c>
    </row>
    <row r="119" spans="1:6" x14ac:dyDescent="0.25">
      <c r="A119" s="1">
        <f>DATE(2025,3,11)</f>
        <v>45727</v>
      </c>
      <c r="B119">
        <v>23979</v>
      </c>
      <c r="C119">
        <v>319989</v>
      </c>
      <c r="D119">
        <v>17640</v>
      </c>
      <c r="E119">
        <v>10702</v>
      </c>
      <c r="F119">
        <v>96079</v>
      </c>
    </row>
    <row r="120" spans="1:6" x14ac:dyDescent="0.25">
      <c r="A120" s="1">
        <f>DATE(2025,3,10)</f>
        <v>45726</v>
      </c>
      <c r="B120">
        <v>23979</v>
      </c>
      <c r="C120">
        <v>318886</v>
      </c>
      <c r="D120">
        <v>17611</v>
      </c>
      <c r="E120">
        <v>10592</v>
      </c>
      <c r="F120">
        <v>96005</v>
      </c>
    </row>
    <row r="121" spans="1:6" x14ac:dyDescent="0.25">
      <c r="A121" s="1">
        <f>DATE(2025,3,7)</f>
        <v>45723</v>
      </c>
      <c r="B121">
        <v>23978</v>
      </c>
      <c r="C121">
        <v>313127</v>
      </c>
      <c r="D121">
        <v>17610</v>
      </c>
      <c r="E121">
        <v>10582</v>
      </c>
      <c r="F121">
        <v>95323</v>
      </c>
    </row>
    <row r="122" spans="1:6" x14ac:dyDescent="0.25">
      <c r="A122" s="1">
        <f>DATE(2025,3,6)</f>
        <v>45722</v>
      </c>
      <c r="B122">
        <v>23978</v>
      </c>
      <c r="C122">
        <v>312131</v>
      </c>
      <c r="D122">
        <v>17582</v>
      </c>
      <c r="E122">
        <v>10532</v>
      </c>
      <c r="F122">
        <v>94431</v>
      </c>
    </row>
    <row r="123" spans="1:6" x14ac:dyDescent="0.25">
      <c r="A123" s="1">
        <f>DATE(2025,3,5)</f>
        <v>45721</v>
      </c>
      <c r="B123">
        <v>23777</v>
      </c>
      <c r="C123">
        <v>309971</v>
      </c>
      <c r="D123">
        <v>17570</v>
      </c>
      <c r="E123">
        <v>10392</v>
      </c>
      <c r="F123">
        <v>95612</v>
      </c>
    </row>
    <row r="124" spans="1:6" x14ac:dyDescent="0.25">
      <c r="A124" s="1">
        <f>DATE(2025,3,4)</f>
        <v>45720</v>
      </c>
      <c r="B124">
        <v>23422</v>
      </c>
      <c r="C124">
        <v>309732</v>
      </c>
      <c r="D124">
        <v>17548</v>
      </c>
      <c r="E124">
        <v>10340</v>
      </c>
      <c r="F124">
        <v>94215</v>
      </c>
    </row>
    <row r="125" spans="1:6" x14ac:dyDescent="0.25">
      <c r="A125" s="1">
        <f>DATE(2025,3,3)</f>
        <v>45719</v>
      </c>
      <c r="B125">
        <v>23423</v>
      </c>
      <c r="C125">
        <v>306181</v>
      </c>
      <c r="D125">
        <v>17445</v>
      </c>
      <c r="E125">
        <v>10264</v>
      </c>
      <c r="F125">
        <v>93953</v>
      </c>
    </row>
    <row r="126" spans="1:6" x14ac:dyDescent="0.25">
      <c r="A126" s="1">
        <f>DATE(2025,2,28)</f>
        <v>45716</v>
      </c>
      <c r="B126">
        <v>23423</v>
      </c>
      <c r="C126">
        <v>305033</v>
      </c>
      <c r="D126">
        <v>17430</v>
      </c>
      <c r="E126">
        <v>10264</v>
      </c>
      <c r="F126">
        <v>93776</v>
      </c>
    </row>
    <row r="127" spans="1:6" x14ac:dyDescent="0.25">
      <c r="A127" s="1">
        <f>DATE(2025,2,27)</f>
        <v>45715</v>
      </c>
      <c r="B127">
        <v>23622</v>
      </c>
      <c r="C127">
        <v>306175</v>
      </c>
      <c r="D127">
        <v>17423</v>
      </c>
      <c r="E127">
        <v>10267</v>
      </c>
      <c r="F127">
        <v>93019</v>
      </c>
    </row>
    <row r="128" spans="1:6" x14ac:dyDescent="0.25">
      <c r="A128" s="1">
        <f>DATE(2025,2,26)</f>
        <v>45714</v>
      </c>
      <c r="B128">
        <v>22447</v>
      </c>
      <c r="C128">
        <v>307467</v>
      </c>
      <c r="D128">
        <v>17423</v>
      </c>
      <c r="E128">
        <v>10267</v>
      </c>
      <c r="F128">
        <v>92972</v>
      </c>
    </row>
    <row r="129" spans="1:6" x14ac:dyDescent="0.25">
      <c r="A129" s="1">
        <f>DATE(2025,2,25)</f>
        <v>45713</v>
      </c>
      <c r="B129">
        <v>22447</v>
      </c>
      <c r="C129">
        <v>308138</v>
      </c>
      <c r="D129">
        <v>17423</v>
      </c>
      <c r="E129">
        <v>10194</v>
      </c>
      <c r="F129">
        <v>92280</v>
      </c>
    </row>
    <row r="130" spans="1:6" x14ac:dyDescent="0.25">
      <c r="A130" s="1">
        <f>DATE(2025,2,24)</f>
        <v>45712</v>
      </c>
      <c r="B130">
        <v>22396</v>
      </c>
      <c r="C130">
        <v>307865</v>
      </c>
      <c r="D130">
        <v>17404</v>
      </c>
      <c r="E130">
        <v>10144</v>
      </c>
      <c r="F130">
        <v>92631</v>
      </c>
    </row>
    <row r="131" spans="1:6" x14ac:dyDescent="0.25">
      <c r="A131" s="1">
        <f>DATE(2025,2,21)</f>
        <v>45709</v>
      </c>
      <c r="B131">
        <v>22395</v>
      </c>
      <c r="C131">
        <v>309194</v>
      </c>
      <c r="D131">
        <v>17387</v>
      </c>
      <c r="E131">
        <v>10094</v>
      </c>
      <c r="F131">
        <v>92714</v>
      </c>
    </row>
    <row r="132" spans="1:6" x14ac:dyDescent="0.25">
      <c r="A132" s="1">
        <f>DATE(2025,2,20)</f>
        <v>45708</v>
      </c>
      <c r="B132">
        <v>22395</v>
      </c>
      <c r="C132">
        <v>309737</v>
      </c>
      <c r="D132">
        <v>17373</v>
      </c>
      <c r="E132">
        <v>10094</v>
      </c>
      <c r="F132">
        <v>92274</v>
      </c>
    </row>
    <row r="133" spans="1:6" x14ac:dyDescent="0.25">
      <c r="A133" s="1">
        <f>DATE(2025,2,19)</f>
        <v>45707</v>
      </c>
      <c r="B133">
        <v>22454</v>
      </c>
      <c r="C133">
        <v>309342</v>
      </c>
      <c r="D133">
        <v>17333</v>
      </c>
      <c r="E133">
        <v>10094</v>
      </c>
      <c r="F133">
        <v>91041</v>
      </c>
    </row>
    <row r="134" spans="1:6" x14ac:dyDescent="0.25">
      <c r="A134" s="1">
        <f>DATE(2025,2,18)</f>
        <v>45706</v>
      </c>
      <c r="B134">
        <v>22454</v>
      </c>
      <c r="C134">
        <v>310867</v>
      </c>
      <c r="D134">
        <v>17303</v>
      </c>
      <c r="E134">
        <v>10092</v>
      </c>
      <c r="F134">
        <v>90882</v>
      </c>
    </row>
    <row r="135" spans="1:6" x14ac:dyDescent="0.25">
      <c r="A135" s="1">
        <f>DATE(2025,2,17)</f>
        <v>45705</v>
      </c>
      <c r="B135">
        <v>22454</v>
      </c>
      <c r="C135">
        <v>313288</v>
      </c>
      <c r="D135">
        <v>17292</v>
      </c>
      <c r="E135">
        <v>10092</v>
      </c>
      <c r="F135">
        <v>90577</v>
      </c>
    </row>
    <row r="136" spans="1:6" x14ac:dyDescent="0.25">
      <c r="A136" s="1">
        <f>DATE(2025,2,14)</f>
        <v>45702</v>
      </c>
      <c r="B136">
        <v>22454</v>
      </c>
      <c r="C136">
        <v>313285</v>
      </c>
      <c r="D136">
        <v>17264</v>
      </c>
      <c r="E136">
        <v>10091</v>
      </c>
      <c r="F136">
        <v>90074</v>
      </c>
    </row>
    <row r="137" spans="1:6" x14ac:dyDescent="0.25">
      <c r="A137" s="1">
        <f>DATE(2025,2,13)</f>
        <v>45701</v>
      </c>
      <c r="B137">
        <v>22454</v>
      </c>
      <c r="C137">
        <v>313902</v>
      </c>
      <c r="D137">
        <v>17185</v>
      </c>
      <c r="E137">
        <v>10088</v>
      </c>
      <c r="F137">
        <v>89936</v>
      </c>
    </row>
    <row r="138" spans="1:6" x14ac:dyDescent="0.25">
      <c r="A138" s="1">
        <f>DATE(2025,2,12)</f>
        <v>45700</v>
      </c>
      <c r="B138">
        <v>22454</v>
      </c>
      <c r="C138">
        <v>314720</v>
      </c>
      <c r="D138">
        <v>17151</v>
      </c>
      <c r="E138">
        <v>10076</v>
      </c>
      <c r="F138">
        <v>89949</v>
      </c>
    </row>
    <row r="139" spans="1:6" x14ac:dyDescent="0.25">
      <c r="A139" s="1">
        <f>DATE(2025,2,11)</f>
        <v>45699</v>
      </c>
      <c r="B139">
        <v>22454</v>
      </c>
      <c r="C139">
        <v>312360</v>
      </c>
      <c r="D139">
        <v>17120</v>
      </c>
      <c r="E139">
        <v>10076</v>
      </c>
      <c r="F139">
        <v>89281</v>
      </c>
    </row>
    <row r="140" spans="1:6" x14ac:dyDescent="0.25">
      <c r="A140" s="1">
        <f>DATE(2025,2,10)</f>
        <v>45698</v>
      </c>
      <c r="B140">
        <v>22454</v>
      </c>
      <c r="C140">
        <v>309021</v>
      </c>
      <c r="D140">
        <v>17116</v>
      </c>
      <c r="E140">
        <v>10076</v>
      </c>
      <c r="F140">
        <v>88826</v>
      </c>
    </row>
    <row r="141" spans="1:6" x14ac:dyDescent="0.25">
      <c r="A141" s="1">
        <f>DATE(2025,2,7)</f>
        <v>45695</v>
      </c>
      <c r="B141">
        <v>22454</v>
      </c>
      <c r="C141">
        <v>307153</v>
      </c>
      <c r="D141">
        <v>17082</v>
      </c>
      <c r="E141">
        <v>9849</v>
      </c>
      <c r="F141">
        <v>88632</v>
      </c>
    </row>
    <row r="142" spans="1:6" x14ac:dyDescent="0.25">
      <c r="A142" s="1">
        <f>DATE(2025,2,6)</f>
        <v>45694</v>
      </c>
      <c r="B142">
        <v>22454</v>
      </c>
      <c r="C142">
        <v>307136</v>
      </c>
      <c r="D142">
        <v>17072</v>
      </c>
      <c r="E142">
        <v>9839</v>
      </c>
      <c r="F142">
        <v>88066</v>
      </c>
    </row>
    <row r="143" spans="1:6" x14ac:dyDescent="0.25">
      <c r="A143" s="1">
        <f>DATE(2025,2,5)</f>
        <v>45693</v>
      </c>
      <c r="B143">
        <v>22454</v>
      </c>
      <c r="C143">
        <v>302392</v>
      </c>
      <c r="D143">
        <v>17072</v>
      </c>
      <c r="E143">
        <v>9839</v>
      </c>
      <c r="F143">
        <v>87813</v>
      </c>
    </row>
    <row r="144" spans="1:6" x14ac:dyDescent="0.25">
      <c r="A144" s="1">
        <f>DATE(2025,2,4)</f>
        <v>45692</v>
      </c>
      <c r="B144">
        <v>22453</v>
      </c>
      <c r="C144">
        <v>300191</v>
      </c>
      <c r="D144">
        <v>17067</v>
      </c>
      <c r="E144">
        <v>9824</v>
      </c>
      <c r="F144">
        <v>87753</v>
      </c>
    </row>
    <row r="145" spans="1:6" x14ac:dyDescent="0.25">
      <c r="A145" s="1">
        <f>DATE(2025,2,3)</f>
        <v>45691</v>
      </c>
      <c r="B145">
        <v>22453</v>
      </c>
      <c r="C145">
        <v>299817</v>
      </c>
      <c r="D145">
        <v>17057</v>
      </c>
      <c r="E145">
        <v>9824</v>
      </c>
      <c r="F145">
        <v>86175</v>
      </c>
    </row>
    <row r="146" spans="1:6" x14ac:dyDescent="0.25">
      <c r="A146" s="1">
        <f>DATE(2025,1,31)</f>
        <v>45688</v>
      </c>
      <c r="B146">
        <v>22453</v>
      </c>
      <c r="C146">
        <v>298024</v>
      </c>
      <c r="D146">
        <v>16895</v>
      </c>
      <c r="E146">
        <v>9657</v>
      </c>
      <c r="F146">
        <v>85765</v>
      </c>
    </row>
    <row r="147" spans="1:6" x14ac:dyDescent="0.25">
      <c r="A147" s="1">
        <f>DATE(2025,1,30)</f>
        <v>45687</v>
      </c>
      <c r="B147">
        <v>22453</v>
      </c>
      <c r="C147">
        <v>296306</v>
      </c>
      <c r="D147">
        <v>16883</v>
      </c>
      <c r="E147">
        <v>9642</v>
      </c>
      <c r="F147">
        <v>85276</v>
      </c>
    </row>
    <row r="148" spans="1:6" x14ac:dyDescent="0.25">
      <c r="A148" s="1">
        <f>DATE(2025,1,29)</f>
        <v>45686</v>
      </c>
      <c r="B148">
        <v>22453</v>
      </c>
      <c r="C148">
        <v>295720</v>
      </c>
      <c r="D148">
        <v>16879</v>
      </c>
      <c r="E148">
        <v>9642</v>
      </c>
      <c r="F148">
        <v>84606</v>
      </c>
    </row>
    <row r="149" spans="1:6" x14ac:dyDescent="0.25">
      <c r="A149" s="1">
        <f>DATE(2025,1,28)</f>
        <v>45685</v>
      </c>
      <c r="B149">
        <v>22453</v>
      </c>
      <c r="C149">
        <v>296177</v>
      </c>
      <c r="D149">
        <v>16871</v>
      </c>
      <c r="E149">
        <v>9142</v>
      </c>
      <c r="F149">
        <v>84342</v>
      </c>
    </row>
    <row r="150" spans="1:6" x14ac:dyDescent="0.25">
      <c r="A150" s="1">
        <f>DATE(2025,1,27)</f>
        <v>45684</v>
      </c>
      <c r="B150">
        <v>22453</v>
      </c>
      <c r="C150">
        <v>295952</v>
      </c>
      <c r="D150">
        <v>16861</v>
      </c>
      <c r="E150">
        <v>9127</v>
      </c>
      <c r="F150">
        <v>83687</v>
      </c>
    </row>
    <row r="151" spans="1:6" x14ac:dyDescent="0.25">
      <c r="A151" s="1">
        <f>DATE(2025,1,24)</f>
        <v>45681</v>
      </c>
      <c r="B151">
        <v>22453</v>
      </c>
      <c r="C151">
        <v>295959</v>
      </c>
      <c r="D151">
        <v>16599</v>
      </c>
      <c r="E151">
        <v>9127</v>
      </c>
      <c r="F151">
        <v>82955</v>
      </c>
    </row>
    <row r="152" spans="1:6" x14ac:dyDescent="0.25">
      <c r="A152" s="1">
        <f>DATE(2025,1,23)</f>
        <v>45680</v>
      </c>
      <c r="B152">
        <v>22453</v>
      </c>
      <c r="C152">
        <v>298028</v>
      </c>
      <c r="D152">
        <v>16595</v>
      </c>
      <c r="E152">
        <v>9124</v>
      </c>
      <c r="F152">
        <v>80190</v>
      </c>
    </row>
    <row r="153" spans="1:6" x14ac:dyDescent="0.25">
      <c r="A153" s="1">
        <f>DATE(2025,1,22)</f>
        <v>45679</v>
      </c>
      <c r="B153">
        <v>22453</v>
      </c>
      <c r="C153">
        <v>298262</v>
      </c>
      <c r="D153">
        <v>16572</v>
      </c>
      <c r="E153">
        <v>9123</v>
      </c>
      <c r="F153">
        <v>80100</v>
      </c>
    </row>
    <row r="154" spans="1:6" x14ac:dyDescent="0.25">
      <c r="A154" s="1">
        <f>DATE(2025,1,21)</f>
        <v>45678</v>
      </c>
      <c r="B154">
        <v>22453</v>
      </c>
      <c r="C154">
        <v>297541</v>
      </c>
      <c r="D154">
        <v>16552</v>
      </c>
      <c r="E154">
        <v>9123</v>
      </c>
      <c r="F154">
        <v>79674</v>
      </c>
    </row>
    <row r="155" spans="1:6" x14ac:dyDescent="0.25">
      <c r="A155" s="1">
        <f>DATE(2025,1,20)</f>
        <v>45677</v>
      </c>
      <c r="B155">
        <v>22453</v>
      </c>
      <c r="C155">
        <v>298121</v>
      </c>
      <c r="D155">
        <v>16513</v>
      </c>
      <c r="E155">
        <v>9123</v>
      </c>
      <c r="F155">
        <v>78519</v>
      </c>
    </row>
    <row r="156" spans="1:6" x14ac:dyDescent="0.25">
      <c r="A156" s="1">
        <f>DATE(2025,1,17)</f>
        <v>45674</v>
      </c>
      <c r="B156">
        <v>22453</v>
      </c>
      <c r="C156">
        <v>297810</v>
      </c>
      <c r="D156">
        <v>16485</v>
      </c>
      <c r="E156">
        <v>9097</v>
      </c>
      <c r="F156">
        <v>78031</v>
      </c>
    </row>
    <row r="157" spans="1:6" x14ac:dyDescent="0.25">
      <c r="A157" s="1">
        <f>DATE(2025,1,16)</f>
        <v>45673</v>
      </c>
      <c r="B157">
        <v>22453</v>
      </c>
      <c r="C157">
        <v>296081</v>
      </c>
      <c r="D157">
        <v>16484</v>
      </c>
      <c r="E157">
        <v>9097</v>
      </c>
      <c r="F157">
        <v>77566</v>
      </c>
    </row>
    <row r="158" spans="1:6" x14ac:dyDescent="0.25">
      <c r="A158" s="1">
        <f>DATE(2025,1,15)</f>
        <v>45672</v>
      </c>
      <c r="B158">
        <v>22453</v>
      </c>
      <c r="C158">
        <v>294142</v>
      </c>
      <c r="D158">
        <v>16483</v>
      </c>
      <c r="E158">
        <v>9053</v>
      </c>
      <c r="F158">
        <v>76666</v>
      </c>
    </row>
    <row r="159" spans="1:6" x14ac:dyDescent="0.25">
      <c r="A159" s="1">
        <f>DATE(2025,1,14)</f>
        <v>45671</v>
      </c>
      <c r="B159">
        <v>24453</v>
      </c>
      <c r="C159">
        <v>293909</v>
      </c>
      <c r="D159">
        <v>16545</v>
      </c>
      <c r="E159">
        <v>9053</v>
      </c>
      <c r="F159">
        <v>75728</v>
      </c>
    </row>
    <row r="160" spans="1:6" x14ac:dyDescent="0.25">
      <c r="A160" s="1">
        <f>DATE(2025,1,13)</f>
        <v>45670</v>
      </c>
      <c r="B160">
        <v>24453</v>
      </c>
      <c r="C160">
        <v>293042</v>
      </c>
      <c r="D160">
        <v>16549</v>
      </c>
      <c r="E160">
        <v>9053</v>
      </c>
      <c r="F160">
        <v>75377</v>
      </c>
    </row>
    <row r="161" spans="1:6" x14ac:dyDescent="0.25">
      <c r="A161" s="1">
        <f>DATE(2025,1,10)</f>
        <v>45667</v>
      </c>
      <c r="B161">
        <v>24453</v>
      </c>
      <c r="C161">
        <v>293931</v>
      </c>
      <c r="D161">
        <v>16550</v>
      </c>
      <c r="E161">
        <v>9053</v>
      </c>
      <c r="F161">
        <v>74597</v>
      </c>
    </row>
    <row r="162" spans="1:6" x14ac:dyDescent="0.25">
      <c r="A162" s="1">
        <f>DATE(2025,1,9)</f>
        <v>45666</v>
      </c>
      <c r="B162">
        <v>24453</v>
      </c>
      <c r="C162">
        <v>293657</v>
      </c>
      <c r="D162">
        <v>16547</v>
      </c>
      <c r="E162">
        <v>9053</v>
      </c>
      <c r="F162">
        <v>73046</v>
      </c>
    </row>
    <row r="163" spans="1:6" x14ac:dyDescent="0.25">
      <c r="A163" s="1">
        <f>DATE(2025,1,8)</f>
        <v>45665</v>
      </c>
      <c r="B163">
        <v>24453</v>
      </c>
      <c r="C163">
        <v>293213</v>
      </c>
      <c r="D163">
        <v>16545</v>
      </c>
      <c r="E163">
        <v>9023</v>
      </c>
      <c r="F163">
        <v>72302</v>
      </c>
    </row>
    <row r="164" spans="1:6" x14ac:dyDescent="0.25">
      <c r="A164" s="1">
        <f>DATE(2025,1,7)</f>
        <v>45664</v>
      </c>
      <c r="B164">
        <v>24453</v>
      </c>
      <c r="C164">
        <v>292105</v>
      </c>
      <c r="D164">
        <v>16534</v>
      </c>
      <c r="E164">
        <v>9023</v>
      </c>
      <c r="F164">
        <v>71585</v>
      </c>
    </row>
    <row r="165" spans="1:6" x14ac:dyDescent="0.25">
      <c r="A165" s="1">
        <f>DATE(2025,1,6)</f>
        <v>45663</v>
      </c>
      <c r="B165">
        <v>24453</v>
      </c>
      <c r="C165">
        <v>290888</v>
      </c>
      <c r="D165">
        <v>16532</v>
      </c>
      <c r="E165">
        <v>9023</v>
      </c>
      <c r="F165">
        <v>71078</v>
      </c>
    </row>
    <row r="166" spans="1:6" x14ac:dyDescent="0.25">
      <c r="A166" s="1">
        <f>DATE(2025,1,3)</f>
        <v>45660</v>
      </c>
      <c r="B166">
        <v>24453</v>
      </c>
      <c r="C166">
        <v>288274</v>
      </c>
      <c r="D166">
        <v>16532</v>
      </c>
      <c r="E166">
        <v>9023</v>
      </c>
      <c r="F166">
        <v>70744</v>
      </c>
    </row>
    <row r="167" spans="1:6" x14ac:dyDescent="0.25">
      <c r="A167" s="1">
        <f>DATE(2025,1,2)</f>
        <v>45659</v>
      </c>
      <c r="B167">
        <v>24453</v>
      </c>
      <c r="C167">
        <v>288343</v>
      </c>
      <c r="D167">
        <v>15773</v>
      </c>
      <c r="E167">
        <v>9023</v>
      </c>
      <c r="F167">
        <v>70613</v>
      </c>
    </row>
    <row r="168" spans="1:6" x14ac:dyDescent="0.25">
      <c r="A168" s="1">
        <f>DATE(2024,12,31)</f>
        <v>45657</v>
      </c>
      <c r="B168">
        <v>24453</v>
      </c>
      <c r="C168">
        <v>290057</v>
      </c>
      <c r="D168">
        <v>14324</v>
      </c>
      <c r="E168">
        <v>9023</v>
      </c>
      <c r="F168">
        <v>71076</v>
      </c>
    </row>
    <row r="169" spans="1:6" x14ac:dyDescent="0.25">
      <c r="A169" s="1">
        <f>DATE(2024,12,30)</f>
        <v>45656</v>
      </c>
      <c r="B169">
        <v>24453</v>
      </c>
      <c r="C169">
        <v>291975</v>
      </c>
      <c r="D169">
        <v>13724</v>
      </c>
      <c r="E169">
        <v>9023</v>
      </c>
      <c r="F169">
        <v>70945</v>
      </c>
    </row>
    <row r="170" spans="1:6" x14ac:dyDescent="0.25">
      <c r="A170" s="1">
        <f>DATE(2024,12,27)</f>
        <v>45653</v>
      </c>
      <c r="B170">
        <v>24453</v>
      </c>
      <c r="C170">
        <v>293957</v>
      </c>
      <c r="D170">
        <v>13728</v>
      </c>
      <c r="E170">
        <v>9023</v>
      </c>
      <c r="F170">
        <v>71587</v>
      </c>
    </row>
    <row r="171" spans="1:6" x14ac:dyDescent="0.25">
      <c r="A171" s="1">
        <f>DATE(2024,12,26)</f>
        <v>45652</v>
      </c>
      <c r="B171">
        <v>24453</v>
      </c>
      <c r="C171">
        <v>294546</v>
      </c>
      <c r="D171">
        <v>13728</v>
      </c>
      <c r="E171">
        <v>9023</v>
      </c>
      <c r="F171">
        <v>71630</v>
      </c>
    </row>
    <row r="172" spans="1:6" x14ac:dyDescent="0.25">
      <c r="A172" s="1">
        <f>DATE(2024,12,24)</f>
        <v>45650</v>
      </c>
      <c r="B172">
        <v>24453</v>
      </c>
      <c r="C172">
        <v>294548</v>
      </c>
      <c r="D172">
        <v>13728</v>
      </c>
      <c r="E172">
        <v>9023</v>
      </c>
      <c r="F172">
        <v>71630</v>
      </c>
    </row>
    <row r="173" spans="1:6" x14ac:dyDescent="0.25">
      <c r="A173" s="1">
        <f>DATE(2024,12,23)</f>
        <v>45649</v>
      </c>
      <c r="B173">
        <v>24453</v>
      </c>
      <c r="C173">
        <v>295328</v>
      </c>
      <c r="D173">
        <v>13078</v>
      </c>
      <c r="E173">
        <v>9023</v>
      </c>
      <c r="F173">
        <v>71607</v>
      </c>
    </row>
    <row r="174" spans="1:6" x14ac:dyDescent="0.25">
      <c r="A174" s="1">
        <f>DATE(2024,12,20)</f>
        <v>45646</v>
      </c>
      <c r="B174">
        <v>24453</v>
      </c>
      <c r="C174">
        <v>295576</v>
      </c>
      <c r="D174">
        <v>12928</v>
      </c>
      <c r="E174">
        <v>9023</v>
      </c>
      <c r="F174">
        <v>71234</v>
      </c>
    </row>
    <row r="175" spans="1:6" x14ac:dyDescent="0.25">
      <c r="A175" s="1">
        <f>DATE(2024,12,19)</f>
        <v>45645</v>
      </c>
      <c r="B175">
        <v>24563</v>
      </c>
      <c r="C175">
        <v>297267</v>
      </c>
      <c r="D175">
        <v>12825</v>
      </c>
      <c r="E175">
        <v>9023</v>
      </c>
      <c r="F175">
        <v>71235</v>
      </c>
    </row>
    <row r="176" spans="1:6" x14ac:dyDescent="0.25">
      <c r="A176" s="1">
        <f>DATE(2024,12,18)</f>
        <v>45644</v>
      </c>
      <c r="B176">
        <v>24838</v>
      </c>
      <c r="C176">
        <v>301001</v>
      </c>
      <c r="D176">
        <v>11878</v>
      </c>
      <c r="E176">
        <v>6745</v>
      </c>
      <c r="F176">
        <v>70647</v>
      </c>
    </row>
    <row r="177" spans="1:6" x14ac:dyDescent="0.25">
      <c r="A177" s="1">
        <f>DATE(2024,12,17)</f>
        <v>45643</v>
      </c>
      <c r="B177">
        <v>22948</v>
      </c>
      <c r="C177">
        <v>298481</v>
      </c>
      <c r="D177">
        <v>11878</v>
      </c>
      <c r="E177">
        <v>6745</v>
      </c>
      <c r="F177">
        <v>70240</v>
      </c>
    </row>
    <row r="178" spans="1:6" x14ac:dyDescent="0.25">
      <c r="A178" s="1">
        <f>DATE(2024,12,16)</f>
        <v>45642</v>
      </c>
      <c r="B178">
        <v>22838</v>
      </c>
      <c r="C178">
        <v>294651</v>
      </c>
      <c r="D178">
        <v>11550</v>
      </c>
      <c r="E178">
        <v>6745</v>
      </c>
      <c r="F178">
        <v>69820</v>
      </c>
    </row>
    <row r="179" spans="1:6" x14ac:dyDescent="0.25">
      <c r="A179" s="1">
        <f>DATE(2024,12,13)</f>
        <v>45639</v>
      </c>
      <c r="B179">
        <v>22838</v>
      </c>
      <c r="C179">
        <v>293743</v>
      </c>
      <c r="D179">
        <v>11552</v>
      </c>
      <c r="E179">
        <v>6745</v>
      </c>
      <c r="F179">
        <v>69282</v>
      </c>
    </row>
    <row r="180" spans="1:6" x14ac:dyDescent="0.25">
      <c r="A180" s="1">
        <f>DATE(2024,12,12)</f>
        <v>45638</v>
      </c>
      <c r="B180">
        <v>21988</v>
      </c>
      <c r="C180">
        <v>288113</v>
      </c>
      <c r="D180">
        <v>11508</v>
      </c>
      <c r="E180">
        <v>6745</v>
      </c>
      <c r="F180">
        <v>69248</v>
      </c>
    </row>
    <row r="181" spans="1:6" x14ac:dyDescent="0.25">
      <c r="A181" s="1">
        <f>DATE(2024,12,11)</f>
        <v>45637</v>
      </c>
      <c r="B181">
        <v>23418</v>
      </c>
      <c r="C181">
        <v>283521</v>
      </c>
      <c r="D181">
        <v>11465</v>
      </c>
      <c r="E181">
        <v>6745</v>
      </c>
      <c r="F181">
        <v>68433</v>
      </c>
    </row>
    <row r="182" spans="1:6" x14ac:dyDescent="0.25">
      <c r="A182" s="1">
        <f>DATE(2024,12,10)</f>
        <v>45636</v>
      </c>
      <c r="B182">
        <v>23393</v>
      </c>
      <c r="C182">
        <v>278267</v>
      </c>
      <c r="D182">
        <v>11221</v>
      </c>
      <c r="E182">
        <v>6745</v>
      </c>
      <c r="F182">
        <v>68330</v>
      </c>
    </row>
    <row r="183" spans="1:6" x14ac:dyDescent="0.25">
      <c r="A183" s="1">
        <f>DATE(2024,12,9)</f>
        <v>45635</v>
      </c>
      <c r="B183">
        <v>23343</v>
      </c>
      <c r="C183">
        <v>271912</v>
      </c>
      <c r="D183">
        <v>11221</v>
      </c>
      <c r="E183">
        <v>6745</v>
      </c>
      <c r="F183">
        <v>67798</v>
      </c>
    </row>
    <row r="184" spans="1:6" x14ac:dyDescent="0.25">
      <c r="A184" s="1">
        <f>DATE(2024,12,6)</f>
        <v>45632</v>
      </c>
      <c r="B184">
        <v>23343</v>
      </c>
      <c r="C184">
        <v>262513</v>
      </c>
      <c r="D184">
        <v>11153</v>
      </c>
      <c r="E184">
        <v>6745</v>
      </c>
      <c r="F184">
        <v>67781</v>
      </c>
    </row>
    <row r="185" spans="1:6" x14ac:dyDescent="0.25">
      <c r="A185" s="1">
        <f>DATE(2024,12,5)</f>
        <v>45631</v>
      </c>
      <c r="B185">
        <v>23343</v>
      </c>
      <c r="C185">
        <v>259235</v>
      </c>
      <c r="D185">
        <v>11112</v>
      </c>
      <c r="E185">
        <v>6745</v>
      </c>
      <c r="F185">
        <v>67474</v>
      </c>
    </row>
    <row r="186" spans="1:6" x14ac:dyDescent="0.25">
      <c r="A186" s="1">
        <f>DATE(2024,12,4)</f>
        <v>45630</v>
      </c>
      <c r="B186">
        <v>23143</v>
      </c>
      <c r="C186">
        <v>254567</v>
      </c>
      <c r="D186">
        <v>10602</v>
      </c>
      <c r="E186">
        <v>6745</v>
      </c>
      <c r="F186">
        <v>67195</v>
      </c>
    </row>
    <row r="187" spans="1:6" x14ac:dyDescent="0.25">
      <c r="A187" s="1">
        <f>DATE(2024,12,3)</f>
        <v>45629</v>
      </c>
      <c r="B187">
        <v>23143</v>
      </c>
      <c r="C187">
        <v>250176</v>
      </c>
      <c r="D187">
        <v>10602</v>
      </c>
      <c r="E187">
        <v>6745</v>
      </c>
      <c r="F187">
        <v>66414</v>
      </c>
    </row>
    <row r="188" spans="1:6" x14ac:dyDescent="0.25">
      <c r="A188" s="1">
        <f>DATE(2024,12,2)</f>
        <v>45628</v>
      </c>
      <c r="B188">
        <v>23140</v>
      </c>
      <c r="C188">
        <v>247746</v>
      </c>
      <c r="D188">
        <v>10565</v>
      </c>
      <c r="E188">
        <v>6745</v>
      </c>
      <c r="F188">
        <v>64844</v>
      </c>
    </row>
    <row r="189" spans="1:6" x14ac:dyDescent="0.25">
      <c r="A189" s="1">
        <f>DATE(2024,11,29)</f>
        <v>45625</v>
      </c>
      <c r="B189">
        <v>23140</v>
      </c>
      <c r="C189">
        <v>246043</v>
      </c>
      <c r="D189">
        <v>10529</v>
      </c>
      <c r="E189">
        <v>6745</v>
      </c>
      <c r="F189">
        <v>64045</v>
      </c>
    </row>
    <row r="190" spans="1:6" x14ac:dyDescent="0.25">
      <c r="A190" s="1">
        <f>DATE(2024,11,28)</f>
        <v>45624</v>
      </c>
      <c r="B190">
        <v>23140</v>
      </c>
      <c r="C190">
        <v>244430</v>
      </c>
      <c r="D190">
        <v>10469</v>
      </c>
      <c r="E190">
        <v>6745</v>
      </c>
      <c r="F190">
        <v>63744</v>
      </c>
    </row>
    <row r="191" spans="1:6" x14ac:dyDescent="0.25">
      <c r="A191" s="1">
        <f>DATE(2024,11,27)</f>
        <v>45623</v>
      </c>
      <c r="B191">
        <v>23140</v>
      </c>
      <c r="C191">
        <v>243229</v>
      </c>
      <c r="D191">
        <v>10465</v>
      </c>
      <c r="E191">
        <v>6695</v>
      </c>
      <c r="F191">
        <v>62851</v>
      </c>
    </row>
    <row r="192" spans="1:6" x14ac:dyDescent="0.25">
      <c r="A192" s="1">
        <f>DATE(2024,11,26)</f>
        <v>45622</v>
      </c>
      <c r="B192">
        <v>23140</v>
      </c>
      <c r="C192">
        <v>241479</v>
      </c>
      <c r="D192">
        <v>10465</v>
      </c>
      <c r="E192">
        <v>6695</v>
      </c>
      <c r="F192">
        <v>62679</v>
      </c>
    </row>
    <row r="193" spans="1:6" x14ac:dyDescent="0.25">
      <c r="A193" s="1">
        <f>DATE(2024,11,25)</f>
        <v>45621</v>
      </c>
      <c r="B193">
        <v>23135</v>
      </c>
      <c r="C193">
        <v>237969</v>
      </c>
      <c r="D193">
        <v>10465</v>
      </c>
      <c r="E193">
        <v>6595</v>
      </c>
      <c r="F193">
        <v>62260</v>
      </c>
    </row>
    <row r="194" spans="1:6" x14ac:dyDescent="0.25">
      <c r="A194" s="1">
        <f>DATE(2024,11,22)</f>
        <v>45618</v>
      </c>
      <c r="B194">
        <v>23135</v>
      </c>
      <c r="C194">
        <v>241559</v>
      </c>
      <c r="D194">
        <v>10465</v>
      </c>
      <c r="E194">
        <v>6595</v>
      </c>
      <c r="F194">
        <v>62018</v>
      </c>
    </row>
    <row r="195" spans="1:6" x14ac:dyDescent="0.25">
      <c r="A195" s="1">
        <f>DATE(2024,11,21)</f>
        <v>45617</v>
      </c>
      <c r="B195">
        <v>23135</v>
      </c>
      <c r="C195">
        <v>240880</v>
      </c>
      <c r="D195">
        <v>10465</v>
      </c>
      <c r="E195">
        <v>6595</v>
      </c>
      <c r="F195">
        <v>60231</v>
      </c>
    </row>
    <row r="196" spans="1:6" x14ac:dyDescent="0.25">
      <c r="A196" s="1">
        <f>DATE(2024,11,20)</f>
        <v>45616</v>
      </c>
      <c r="B196">
        <v>23135</v>
      </c>
      <c r="C196">
        <v>242718</v>
      </c>
      <c r="D196">
        <v>10410</v>
      </c>
      <c r="E196">
        <v>6245</v>
      </c>
      <c r="F196">
        <v>59530</v>
      </c>
    </row>
    <row r="197" spans="1:6" x14ac:dyDescent="0.25">
      <c r="A197" s="1">
        <f>DATE(2024,11,19)</f>
        <v>45615</v>
      </c>
      <c r="B197">
        <v>23135</v>
      </c>
      <c r="C197">
        <v>242146</v>
      </c>
      <c r="D197">
        <v>10410</v>
      </c>
      <c r="E197">
        <v>6238</v>
      </c>
      <c r="F197">
        <v>59300</v>
      </c>
    </row>
    <row r="198" spans="1:6" x14ac:dyDescent="0.25">
      <c r="A198" s="1">
        <f>DATE(2024,11,18)</f>
        <v>45614</v>
      </c>
      <c r="B198">
        <v>23134</v>
      </c>
      <c r="C198">
        <v>240186</v>
      </c>
      <c r="D198">
        <v>9470</v>
      </c>
      <c r="E198">
        <v>6238</v>
      </c>
      <c r="F198">
        <v>58316</v>
      </c>
    </row>
    <row r="199" spans="1:6" x14ac:dyDescent="0.25">
      <c r="A199" s="1">
        <f>DATE(2024,11,15)</f>
        <v>45611</v>
      </c>
      <c r="B199">
        <v>23134</v>
      </c>
      <c r="C199">
        <v>240124</v>
      </c>
      <c r="D199">
        <v>9470</v>
      </c>
      <c r="E199">
        <v>6238</v>
      </c>
      <c r="F199">
        <v>58006</v>
      </c>
    </row>
    <row r="200" spans="1:6" x14ac:dyDescent="0.25">
      <c r="A200" s="1">
        <f>DATE(2024,11,14)</f>
        <v>45610</v>
      </c>
      <c r="B200">
        <v>22884</v>
      </c>
      <c r="C200">
        <v>239097</v>
      </c>
      <c r="D200">
        <v>9474</v>
      </c>
      <c r="E200">
        <v>6238</v>
      </c>
      <c r="F200">
        <v>57910</v>
      </c>
    </row>
    <row r="201" spans="1:6" x14ac:dyDescent="0.25">
      <c r="A201" s="1">
        <f>DATE(2024,11,13)</f>
        <v>45609</v>
      </c>
      <c r="B201">
        <v>22884</v>
      </c>
      <c r="C201">
        <v>236767</v>
      </c>
      <c r="D201">
        <v>9474</v>
      </c>
      <c r="E201">
        <v>6238</v>
      </c>
      <c r="F201">
        <v>56984</v>
      </c>
    </row>
    <row r="202" spans="1:6" x14ac:dyDescent="0.25">
      <c r="A202" s="1">
        <f>DATE(2024,11,12)</f>
        <v>45608</v>
      </c>
      <c r="B202">
        <v>22884</v>
      </c>
      <c r="C202">
        <v>237379</v>
      </c>
      <c r="D202">
        <v>9469</v>
      </c>
      <c r="E202">
        <v>6208</v>
      </c>
      <c r="F202">
        <v>56896</v>
      </c>
    </row>
    <row r="203" spans="1:6" x14ac:dyDescent="0.25">
      <c r="A203" s="1">
        <f>DATE(2024,11,11)</f>
        <v>45607</v>
      </c>
      <c r="B203">
        <v>22884</v>
      </c>
      <c r="C203">
        <v>236910</v>
      </c>
      <c r="D203">
        <v>9469</v>
      </c>
      <c r="E203">
        <v>6208</v>
      </c>
      <c r="F203">
        <v>56929</v>
      </c>
    </row>
    <row r="204" spans="1:6" x14ac:dyDescent="0.25">
      <c r="A204" s="1">
        <f>DATE(2024,11,8)</f>
        <v>45604</v>
      </c>
      <c r="B204">
        <v>22884</v>
      </c>
      <c r="C204">
        <v>235001</v>
      </c>
      <c r="D204">
        <v>9519</v>
      </c>
      <c r="E204">
        <v>6208</v>
      </c>
      <c r="F204">
        <v>56515</v>
      </c>
    </row>
    <row r="205" spans="1:6" x14ac:dyDescent="0.25">
      <c r="A205" s="1">
        <f>DATE(2024,11,7)</f>
        <v>45603</v>
      </c>
      <c r="B205">
        <v>22884</v>
      </c>
      <c r="C205">
        <v>231619</v>
      </c>
      <c r="D205">
        <v>9619</v>
      </c>
      <c r="E205">
        <v>6208</v>
      </c>
      <c r="F205">
        <v>56072</v>
      </c>
    </row>
    <row r="206" spans="1:6" x14ac:dyDescent="0.25">
      <c r="A206" s="1">
        <f>DATE(2024,11,6)</f>
        <v>45602</v>
      </c>
      <c r="B206">
        <v>22884</v>
      </c>
      <c r="C206">
        <v>230601</v>
      </c>
      <c r="D206">
        <v>9690</v>
      </c>
      <c r="E206">
        <v>6108</v>
      </c>
      <c r="F206">
        <v>55998</v>
      </c>
    </row>
    <row r="207" spans="1:6" x14ac:dyDescent="0.25">
      <c r="A207" s="1">
        <f>DATE(2024,11,5)</f>
        <v>45601</v>
      </c>
      <c r="B207">
        <v>22884</v>
      </c>
      <c r="C207">
        <v>230374</v>
      </c>
      <c r="D207">
        <v>9677</v>
      </c>
      <c r="E207">
        <v>5923</v>
      </c>
      <c r="F207">
        <v>54727</v>
      </c>
    </row>
    <row r="208" spans="1:6" x14ac:dyDescent="0.25">
      <c r="A208" s="1">
        <f>DATE(2024,11,4)</f>
        <v>45600</v>
      </c>
      <c r="B208">
        <v>22884</v>
      </c>
      <c r="C208">
        <v>229045</v>
      </c>
      <c r="D208">
        <v>9677</v>
      </c>
      <c r="E208">
        <v>5923</v>
      </c>
      <c r="F208">
        <v>54404</v>
      </c>
    </row>
    <row r="209" spans="1:6" x14ac:dyDescent="0.25">
      <c r="A209" s="1">
        <f>DATE(2024,11,1)</f>
        <v>45597</v>
      </c>
      <c r="B209">
        <v>22884</v>
      </c>
      <c r="C209">
        <v>227307</v>
      </c>
      <c r="D209">
        <v>9567</v>
      </c>
      <c r="E209">
        <v>5923</v>
      </c>
      <c r="F209">
        <v>54456</v>
      </c>
    </row>
    <row r="210" spans="1:6" x14ac:dyDescent="0.25">
      <c r="A210" s="1">
        <f>DATE(2024,10,31)</f>
        <v>45596</v>
      </c>
      <c r="B210">
        <v>22884</v>
      </c>
      <c r="C210">
        <v>227231</v>
      </c>
      <c r="D210">
        <v>9567</v>
      </c>
      <c r="E210">
        <v>5923</v>
      </c>
      <c r="F210">
        <v>53878</v>
      </c>
    </row>
    <row r="211" spans="1:6" x14ac:dyDescent="0.25">
      <c r="A211" s="1">
        <f>DATE(2024,10,30)</f>
        <v>45595</v>
      </c>
      <c r="B211">
        <v>22884</v>
      </c>
      <c r="C211">
        <v>226655</v>
      </c>
      <c r="D211">
        <v>9547</v>
      </c>
      <c r="E211">
        <v>5923</v>
      </c>
      <c r="F211">
        <v>53986</v>
      </c>
    </row>
    <row r="212" spans="1:6" x14ac:dyDescent="0.25">
      <c r="A212" s="1">
        <f>DATE(2024,10,29)</f>
        <v>45594</v>
      </c>
      <c r="B212">
        <v>22884</v>
      </c>
      <c r="C212">
        <v>226326</v>
      </c>
      <c r="D212">
        <v>9540</v>
      </c>
      <c r="E212">
        <v>5923</v>
      </c>
      <c r="F212">
        <v>53441</v>
      </c>
    </row>
    <row r="213" spans="1:6" x14ac:dyDescent="0.25">
      <c r="A213" s="1">
        <f>DATE(2024,10,28)</f>
        <v>45593</v>
      </c>
      <c r="B213">
        <v>22884</v>
      </c>
      <c r="C213">
        <v>225848</v>
      </c>
      <c r="D213">
        <v>9540</v>
      </c>
      <c r="E213">
        <v>5923</v>
      </c>
      <c r="F213">
        <v>52683</v>
      </c>
    </row>
    <row r="214" spans="1:6" x14ac:dyDescent="0.25">
      <c r="A214" s="1">
        <f>DATE(2024,10,25)</f>
        <v>45590</v>
      </c>
      <c r="B214">
        <v>21875</v>
      </c>
      <c r="C214">
        <v>225509</v>
      </c>
      <c r="D214">
        <v>9540</v>
      </c>
      <c r="E214">
        <v>5923</v>
      </c>
      <c r="F214">
        <v>52453</v>
      </c>
    </row>
    <row r="215" spans="1:6" x14ac:dyDescent="0.25">
      <c r="A215" s="1">
        <f>DATE(2024,10,24)</f>
        <v>45589</v>
      </c>
      <c r="B215">
        <v>21875</v>
      </c>
      <c r="C215">
        <v>227510</v>
      </c>
      <c r="D215">
        <v>9540</v>
      </c>
      <c r="E215">
        <v>5923</v>
      </c>
      <c r="F215">
        <v>51188</v>
      </c>
    </row>
    <row r="216" spans="1:6" x14ac:dyDescent="0.25">
      <c r="A216" s="1">
        <f>DATE(2024,10,23)</f>
        <v>45588</v>
      </c>
      <c r="B216">
        <v>21875</v>
      </c>
      <c r="C216">
        <v>226876</v>
      </c>
      <c r="D216">
        <v>9540</v>
      </c>
      <c r="E216">
        <v>5923</v>
      </c>
      <c r="F216">
        <v>51133</v>
      </c>
    </row>
    <row r="217" spans="1:6" x14ac:dyDescent="0.25">
      <c r="A217" s="1">
        <f>DATE(2024,10,22)</f>
        <v>45587</v>
      </c>
      <c r="B217">
        <v>21875</v>
      </c>
      <c r="C217">
        <v>227039</v>
      </c>
      <c r="D217">
        <v>9540</v>
      </c>
      <c r="E217">
        <v>5923</v>
      </c>
      <c r="F217">
        <v>51049</v>
      </c>
    </row>
    <row r="218" spans="1:6" x14ac:dyDescent="0.25">
      <c r="A218" s="1">
        <f>DATE(2024,10,21)</f>
        <v>45586</v>
      </c>
      <c r="B218">
        <v>21875</v>
      </c>
      <c r="C218">
        <v>225342</v>
      </c>
      <c r="D218">
        <v>9536</v>
      </c>
      <c r="E218">
        <v>5923</v>
      </c>
      <c r="F218">
        <v>51091</v>
      </c>
    </row>
    <row r="219" spans="1:6" x14ac:dyDescent="0.25">
      <c r="A219" s="1">
        <f>DATE(2024,10,18)</f>
        <v>45583</v>
      </c>
      <c r="B219">
        <v>21875</v>
      </c>
      <c r="C219">
        <v>224244</v>
      </c>
      <c r="D219">
        <v>9536</v>
      </c>
      <c r="E219">
        <v>5723</v>
      </c>
      <c r="F219">
        <v>51028</v>
      </c>
    </row>
    <row r="220" spans="1:6" x14ac:dyDescent="0.25">
      <c r="A220" s="1">
        <f>DATE(2024,10,17)</f>
        <v>45582</v>
      </c>
      <c r="B220">
        <v>21875</v>
      </c>
      <c r="C220">
        <v>223763</v>
      </c>
      <c r="D220">
        <v>9536</v>
      </c>
      <c r="E220">
        <v>5723</v>
      </c>
      <c r="F220">
        <v>50423</v>
      </c>
    </row>
    <row r="221" spans="1:6" x14ac:dyDescent="0.25">
      <c r="A221" s="1">
        <f>DATE(2024,10,16)</f>
        <v>45581</v>
      </c>
      <c r="B221">
        <v>21875</v>
      </c>
      <c r="C221">
        <v>221765</v>
      </c>
      <c r="D221">
        <v>9538</v>
      </c>
      <c r="E221">
        <v>5723</v>
      </c>
      <c r="F221">
        <v>49665</v>
      </c>
    </row>
    <row r="222" spans="1:6" x14ac:dyDescent="0.25">
      <c r="A222" s="1">
        <f>DATE(2024,10,15)</f>
        <v>45580</v>
      </c>
      <c r="B222">
        <v>21875</v>
      </c>
      <c r="C222">
        <v>221165</v>
      </c>
      <c r="D222">
        <v>9530</v>
      </c>
      <c r="E222">
        <v>5723</v>
      </c>
      <c r="F222">
        <v>48992</v>
      </c>
    </row>
    <row r="223" spans="1:6" x14ac:dyDescent="0.25">
      <c r="A223" s="1">
        <f>DATE(2024,10,14)</f>
        <v>45579</v>
      </c>
      <c r="B223">
        <v>21875</v>
      </c>
      <c r="C223">
        <v>220105</v>
      </c>
      <c r="D223">
        <v>9485</v>
      </c>
      <c r="E223">
        <v>5723</v>
      </c>
      <c r="F223">
        <v>48124</v>
      </c>
    </row>
    <row r="224" spans="1:6" x14ac:dyDescent="0.25">
      <c r="A224" s="1">
        <f>DATE(2024,10,11)</f>
        <v>45576</v>
      </c>
      <c r="B224">
        <v>22075</v>
      </c>
      <c r="C224">
        <v>219760</v>
      </c>
      <c r="D224">
        <v>9485</v>
      </c>
      <c r="E224">
        <v>5723</v>
      </c>
      <c r="F224">
        <v>47918</v>
      </c>
    </row>
    <row r="225" spans="1:6" x14ac:dyDescent="0.25">
      <c r="A225" s="1">
        <f>DATE(2024,10,10)</f>
        <v>45575</v>
      </c>
      <c r="B225">
        <v>22075</v>
      </c>
      <c r="C225">
        <v>218844</v>
      </c>
      <c r="D225">
        <v>9485</v>
      </c>
      <c r="E225">
        <v>5723</v>
      </c>
      <c r="F225">
        <v>47824</v>
      </c>
    </row>
    <row r="226" spans="1:6" x14ac:dyDescent="0.25">
      <c r="A226" s="1">
        <f>DATE(2024,10,9)</f>
        <v>45574</v>
      </c>
      <c r="B226">
        <v>22075</v>
      </c>
      <c r="C226">
        <v>218706</v>
      </c>
      <c r="D226">
        <v>9480</v>
      </c>
      <c r="E226">
        <v>5723</v>
      </c>
      <c r="F226">
        <v>47848</v>
      </c>
    </row>
    <row r="227" spans="1:6" x14ac:dyDescent="0.25">
      <c r="A227" s="1">
        <f>DATE(2024,10,8)</f>
        <v>45573</v>
      </c>
      <c r="B227">
        <v>22075</v>
      </c>
      <c r="C227">
        <v>213895</v>
      </c>
      <c r="D227">
        <v>8979</v>
      </c>
      <c r="E227">
        <v>5723</v>
      </c>
      <c r="F227">
        <v>47418</v>
      </c>
    </row>
    <row r="228" spans="1:6" x14ac:dyDescent="0.25">
      <c r="A228" s="1">
        <f>DATE(2024,10,7)</f>
        <v>45572</v>
      </c>
      <c r="B228">
        <v>22075</v>
      </c>
      <c r="C228">
        <v>212171</v>
      </c>
      <c r="D228">
        <v>8549</v>
      </c>
      <c r="E228">
        <v>5723</v>
      </c>
      <c r="F228">
        <v>46991</v>
      </c>
    </row>
    <row r="229" spans="1:6" x14ac:dyDescent="0.25">
      <c r="A229" s="1">
        <f>DATE(2024,10,4)</f>
        <v>45569</v>
      </c>
      <c r="B229">
        <v>22075</v>
      </c>
      <c r="C229">
        <v>211471</v>
      </c>
      <c r="D229">
        <v>8549</v>
      </c>
      <c r="E229">
        <v>5723</v>
      </c>
      <c r="F229">
        <v>46777</v>
      </c>
    </row>
    <row r="230" spans="1:6" x14ac:dyDescent="0.25">
      <c r="A230" s="1">
        <f>DATE(2024,10,3)</f>
        <v>45568</v>
      </c>
      <c r="B230">
        <v>22075</v>
      </c>
      <c r="C230">
        <v>210463</v>
      </c>
      <c r="D230">
        <v>8530</v>
      </c>
      <c r="E230">
        <v>5723</v>
      </c>
      <c r="F230">
        <v>46762</v>
      </c>
    </row>
    <row r="231" spans="1:6" x14ac:dyDescent="0.25">
      <c r="A231" s="1">
        <f>DATE(2024,10,2)</f>
        <v>45567</v>
      </c>
      <c r="B231">
        <v>22075</v>
      </c>
      <c r="C231">
        <v>210552</v>
      </c>
      <c r="D231">
        <v>8527</v>
      </c>
      <c r="E231">
        <v>5723</v>
      </c>
      <c r="F231">
        <v>46600</v>
      </c>
    </row>
    <row r="232" spans="1:6" x14ac:dyDescent="0.25">
      <c r="A232" s="1">
        <f>DATE(2024,10,1)</f>
        <v>45566</v>
      </c>
      <c r="B232">
        <v>22075</v>
      </c>
      <c r="C232">
        <v>203830</v>
      </c>
      <c r="D232">
        <v>8527</v>
      </c>
      <c r="E232">
        <v>5473</v>
      </c>
      <c r="F232">
        <v>45716</v>
      </c>
    </row>
    <row r="233" spans="1:6" x14ac:dyDescent="0.25">
      <c r="A233" s="1">
        <f>DATE(2024,9,30)</f>
        <v>45565</v>
      </c>
      <c r="B233">
        <v>22075</v>
      </c>
      <c r="C233">
        <v>197874</v>
      </c>
      <c r="D233">
        <v>8436</v>
      </c>
      <c r="E233">
        <v>5473</v>
      </c>
      <c r="F233">
        <v>45261</v>
      </c>
    </row>
    <row r="234" spans="1:6" x14ac:dyDescent="0.25">
      <c r="A234" s="1">
        <f>DATE(2024,9,27)</f>
        <v>45562</v>
      </c>
      <c r="B234">
        <v>22075</v>
      </c>
      <c r="C234">
        <v>197129</v>
      </c>
      <c r="D234">
        <v>8436</v>
      </c>
      <c r="E234">
        <v>5473</v>
      </c>
      <c r="F234">
        <v>45232</v>
      </c>
    </row>
    <row r="235" spans="1:6" x14ac:dyDescent="0.25">
      <c r="A235" s="1">
        <f>DATE(2024,9,26)</f>
        <v>45561</v>
      </c>
      <c r="B235">
        <v>22075</v>
      </c>
      <c r="C235">
        <v>196698</v>
      </c>
      <c r="D235">
        <v>8436</v>
      </c>
      <c r="E235">
        <v>5355</v>
      </c>
      <c r="F235">
        <v>45271</v>
      </c>
    </row>
    <row r="236" spans="1:6" x14ac:dyDescent="0.25">
      <c r="A236" s="1">
        <f>DATE(2024,9,25)</f>
        <v>45560</v>
      </c>
      <c r="B236">
        <v>22163</v>
      </c>
      <c r="C236">
        <v>194595</v>
      </c>
      <c r="D236">
        <v>8436</v>
      </c>
      <c r="E236">
        <v>5355</v>
      </c>
      <c r="F236">
        <v>45226</v>
      </c>
    </row>
    <row r="237" spans="1:6" x14ac:dyDescent="0.25">
      <c r="A237" s="1">
        <f>DATE(2024,9,24)</f>
        <v>45559</v>
      </c>
      <c r="B237">
        <v>15813</v>
      </c>
      <c r="C237">
        <v>193567</v>
      </c>
      <c r="D237">
        <v>8436</v>
      </c>
      <c r="E237">
        <v>5355</v>
      </c>
      <c r="F237">
        <v>45184</v>
      </c>
    </row>
    <row r="238" spans="1:6" x14ac:dyDescent="0.25">
      <c r="A238" s="1">
        <f>DATE(2024,9,23)</f>
        <v>45558</v>
      </c>
      <c r="B238">
        <v>15813</v>
      </c>
      <c r="C238">
        <v>192155</v>
      </c>
      <c r="D238">
        <v>8436</v>
      </c>
      <c r="E238">
        <v>5355</v>
      </c>
      <c r="F238">
        <v>45282</v>
      </c>
    </row>
    <row r="239" spans="1:6" x14ac:dyDescent="0.25">
      <c r="A239" s="1">
        <f>DATE(2024,9,20)</f>
        <v>45555</v>
      </c>
      <c r="B239">
        <v>15813</v>
      </c>
      <c r="C239">
        <v>190546</v>
      </c>
      <c r="D239">
        <v>8436</v>
      </c>
      <c r="E239">
        <v>5355</v>
      </c>
      <c r="F239">
        <v>44347</v>
      </c>
    </row>
    <row r="240" spans="1:6" x14ac:dyDescent="0.25">
      <c r="A240" s="1">
        <f>DATE(2024,9,19)</f>
        <v>45554</v>
      </c>
      <c r="B240">
        <v>15813</v>
      </c>
      <c r="C240">
        <v>190387</v>
      </c>
      <c r="D240">
        <v>8436</v>
      </c>
      <c r="E240">
        <v>5355</v>
      </c>
      <c r="F240">
        <v>44138</v>
      </c>
    </row>
    <row r="241" spans="1:6" x14ac:dyDescent="0.25">
      <c r="A241" s="1">
        <f>DATE(2024,9,18)</f>
        <v>45553</v>
      </c>
      <c r="B241">
        <v>13763</v>
      </c>
      <c r="C241">
        <v>189493</v>
      </c>
      <c r="D241">
        <v>8411</v>
      </c>
      <c r="E241">
        <v>5355</v>
      </c>
      <c r="F241">
        <v>43888</v>
      </c>
    </row>
    <row r="242" spans="1:6" x14ac:dyDescent="0.25">
      <c r="A242" s="1">
        <f>DATE(2024,9,17)</f>
        <v>45552</v>
      </c>
      <c r="B242">
        <v>13763</v>
      </c>
      <c r="C242">
        <v>189036</v>
      </c>
      <c r="D242">
        <v>8405</v>
      </c>
      <c r="E242">
        <v>5355</v>
      </c>
      <c r="F242">
        <v>43717</v>
      </c>
    </row>
    <row r="243" spans="1:6" x14ac:dyDescent="0.25">
      <c r="A243" s="1">
        <f>DATE(2024,9,16)</f>
        <v>45551</v>
      </c>
      <c r="B243">
        <v>13763</v>
      </c>
      <c r="C243">
        <v>189674</v>
      </c>
      <c r="D243">
        <v>8405</v>
      </c>
      <c r="E243">
        <v>5355</v>
      </c>
      <c r="F243">
        <v>42926</v>
      </c>
    </row>
    <row r="244" spans="1:6" x14ac:dyDescent="0.25">
      <c r="A244" s="1">
        <f>DATE(2024,9,13)</f>
        <v>45548</v>
      </c>
      <c r="B244">
        <v>13760</v>
      </c>
      <c r="C244">
        <v>190449</v>
      </c>
      <c r="D244">
        <v>8368</v>
      </c>
      <c r="E244">
        <v>5355</v>
      </c>
      <c r="F244">
        <v>42350</v>
      </c>
    </row>
    <row r="245" spans="1:6" x14ac:dyDescent="0.25">
      <c r="A245" s="1">
        <f>DATE(2024,9,12)</f>
        <v>45547</v>
      </c>
      <c r="B245">
        <v>13760</v>
      </c>
      <c r="C245">
        <v>190306</v>
      </c>
      <c r="D245">
        <v>8368</v>
      </c>
      <c r="E245">
        <v>5355</v>
      </c>
      <c r="F245">
        <v>42577</v>
      </c>
    </row>
    <row r="246" spans="1:6" x14ac:dyDescent="0.25">
      <c r="A246" s="1">
        <f>DATE(2024,9,11)</f>
        <v>45546</v>
      </c>
      <c r="B246">
        <v>13760</v>
      </c>
      <c r="C246">
        <v>190071</v>
      </c>
      <c r="D246">
        <v>8367</v>
      </c>
      <c r="E246">
        <v>5355</v>
      </c>
      <c r="F246">
        <v>42349</v>
      </c>
    </row>
    <row r="247" spans="1:6" x14ac:dyDescent="0.25">
      <c r="A247" s="1">
        <f>DATE(2024,9,10)</f>
        <v>45545</v>
      </c>
      <c r="B247">
        <v>13760</v>
      </c>
      <c r="C247">
        <v>191308</v>
      </c>
      <c r="D247">
        <v>8357</v>
      </c>
      <c r="E247">
        <v>5355</v>
      </c>
      <c r="F247">
        <v>41864</v>
      </c>
    </row>
    <row r="248" spans="1:6" x14ac:dyDescent="0.25">
      <c r="A248" s="1">
        <f>DATE(2024,9,9)</f>
        <v>45544</v>
      </c>
      <c r="B248">
        <v>13760</v>
      </c>
      <c r="C248">
        <v>190241</v>
      </c>
      <c r="D248">
        <v>7636</v>
      </c>
      <c r="E248">
        <v>5355</v>
      </c>
      <c r="F248">
        <v>41723</v>
      </c>
    </row>
    <row r="249" spans="1:6" x14ac:dyDescent="0.25">
      <c r="A249" s="1">
        <f>DATE(2024,9,6)</f>
        <v>45541</v>
      </c>
      <c r="B249">
        <v>13760</v>
      </c>
      <c r="C249">
        <v>188662</v>
      </c>
      <c r="D249">
        <v>7083</v>
      </c>
      <c r="E249">
        <v>5355</v>
      </c>
      <c r="F249">
        <v>41637</v>
      </c>
    </row>
    <row r="250" spans="1:6" x14ac:dyDescent="0.25">
      <c r="A250" s="1">
        <f>DATE(2024,9,5)</f>
        <v>45540</v>
      </c>
      <c r="B250">
        <v>13760</v>
      </c>
      <c r="C250">
        <v>181332</v>
      </c>
      <c r="D250">
        <v>7083</v>
      </c>
      <c r="E250">
        <v>5355</v>
      </c>
      <c r="F250">
        <v>40826</v>
      </c>
    </row>
    <row r="251" spans="1:6" x14ac:dyDescent="0.25">
      <c r="A251" s="1">
        <f>DATE(2024,9,4)</f>
        <v>45539</v>
      </c>
      <c r="B251">
        <v>13760</v>
      </c>
      <c r="C251">
        <v>180006</v>
      </c>
      <c r="D251">
        <v>7082</v>
      </c>
      <c r="E251">
        <v>5355</v>
      </c>
      <c r="F251">
        <v>39752</v>
      </c>
    </row>
    <row r="252" spans="1:6" x14ac:dyDescent="0.25">
      <c r="A252" s="1">
        <f>DATE(2024,9,3)</f>
        <v>45538</v>
      </c>
      <c r="B252">
        <v>13760</v>
      </c>
      <c r="C252">
        <v>178478</v>
      </c>
      <c r="D252">
        <v>7061</v>
      </c>
      <c r="E252">
        <v>5355</v>
      </c>
      <c r="F252">
        <v>39608</v>
      </c>
    </row>
    <row r="253" spans="1:6" x14ac:dyDescent="0.25">
      <c r="A253" s="1">
        <f>DATE(2024,9,2)</f>
        <v>45537</v>
      </c>
      <c r="B253">
        <v>13760</v>
      </c>
      <c r="C253">
        <v>177750</v>
      </c>
      <c r="D253">
        <v>7061</v>
      </c>
      <c r="E253">
        <v>5355</v>
      </c>
      <c r="F253">
        <v>39391</v>
      </c>
    </row>
    <row r="254" spans="1:6" x14ac:dyDescent="0.25">
      <c r="A254" s="1">
        <f>DATE(2024,8,30)</f>
        <v>45534</v>
      </c>
      <c r="B254">
        <v>13710</v>
      </c>
      <c r="C254">
        <v>177653</v>
      </c>
      <c r="D254">
        <v>7061</v>
      </c>
      <c r="E254">
        <v>5355</v>
      </c>
      <c r="F254">
        <v>39276</v>
      </c>
    </row>
    <row r="255" spans="1:6" x14ac:dyDescent="0.25">
      <c r="A255" s="1">
        <f>DATE(2024,8,29)</f>
        <v>45533</v>
      </c>
      <c r="B255">
        <v>13710</v>
      </c>
      <c r="C255">
        <v>176674</v>
      </c>
      <c r="D255">
        <v>7061</v>
      </c>
      <c r="E255">
        <v>5355</v>
      </c>
      <c r="F255">
        <v>39072</v>
      </c>
    </row>
    <row r="256" spans="1:6" x14ac:dyDescent="0.25">
      <c r="A256" s="1">
        <f>DATE(2024,8,28)</f>
        <v>45532</v>
      </c>
      <c r="B256">
        <v>13710</v>
      </c>
      <c r="C256">
        <v>176117</v>
      </c>
      <c r="D256">
        <v>7061</v>
      </c>
      <c r="E256">
        <v>5355</v>
      </c>
      <c r="F256">
        <v>37790</v>
      </c>
    </row>
    <row r="257" spans="1:6" x14ac:dyDescent="0.25">
      <c r="A257" s="1">
        <f>DATE(2024,8,27)</f>
        <v>45531</v>
      </c>
      <c r="B257">
        <v>13710</v>
      </c>
      <c r="C257">
        <v>175271</v>
      </c>
      <c r="D257">
        <v>7061</v>
      </c>
      <c r="E257">
        <v>5355</v>
      </c>
      <c r="F257">
        <v>37787</v>
      </c>
    </row>
    <row r="258" spans="1:6" x14ac:dyDescent="0.25">
      <c r="A258" s="1">
        <f>DATE(2024,8,26)</f>
        <v>45530</v>
      </c>
      <c r="B258">
        <v>13710</v>
      </c>
      <c r="C258">
        <v>175115</v>
      </c>
      <c r="D258">
        <v>7061</v>
      </c>
      <c r="E258">
        <v>5355</v>
      </c>
      <c r="F258">
        <v>37432</v>
      </c>
    </row>
    <row r="259" spans="1:6" x14ac:dyDescent="0.25">
      <c r="A259" s="1">
        <f>DATE(2024,8,23)</f>
        <v>45527</v>
      </c>
      <c r="B259">
        <v>13710</v>
      </c>
      <c r="C259">
        <v>174789</v>
      </c>
      <c r="D259">
        <v>7061</v>
      </c>
      <c r="E259">
        <v>5355</v>
      </c>
      <c r="F259">
        <v>37384</v>
      </c>
    </row>
    <row r="260" spans="1:6" x14ac:dyDescent="0.25">
      <c r="A260" s="1">
        <f>DATE(2024,8,22)</f>
        <v>45526</v>
      </c>
      <c r="B260">
        <v>13710</v>
      </c>
      <c r="C260">
        <v>174481</v>
      </c>
      <c r="D260">
        <v>7061</v>
      </c>
      <c r="E260">
        <v>5355</v>
      </c>
      <c r="F260">
        <v>36792</v>
      </c>
    </row>
    <row r="261" spans="1:6" x14ac:dyDescent="0.25">
      <c r="A261" s="1">
        <f>DATE(2024,8,21)</f>
        <v>45525</v>
      </c>
      <c r="B261">
        <v>13710</v>
      </c>
      <c r="C261">
        <v>174081</v>
      </c>
      <c r="D261">
        <v>7061</v>
      </c>
      <c r="E261">
        <v>5355</v>
      </c>
      <c r="F261">
        <v>36678</v>
      </c>
    </row>
    <row r="262" spans="1:6" x14ac:dyDescent="0.25">
      <c r="A262" s="1">
        <f>DATE(2024,8,20)</f>
        <v>45524</v>
      </c>
      <c r="B262">
        <v>13710</v>
      </c>
      <c r="C262">
        <v>173956</v>
      </c>
      <c r="D262">
        <v>7061</v>
      </c>
      <c r="E262">
        <v>5355</v>
      </c>
      <c r="F262">
        <v>36528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00085-FC66-4939-BACA-8A0A5F4526C8}">
  <dimension ref="A1:F2"/>
  <sheetViews>
    <sheetView workbookViewId="0">
      <selection activeCell="I15" sqref="I15"/>
    </sheetView>
  </sheetViews>
  <sheetFormatPr defaultRowHeight="15" x14ac:dyDescent="0.25"/>
  <sheetData>
    <row r="1" spans="1:6" x14ac:dyDescent="0.25">
      <c r="A1" s="2"/>
      <c r="B1" s="2"/>
      <c r="C1" s="2"/>
      <c r="D1" s="2"/>
      <c r="E1" s="2"/>
      <c r="F1" s="2"/>
    </row>
    <row r="2" spans="1:6" x14ac:dyDescent="0.25">
      <c r="A2" s="2"/>
      <c r="B2" s="3"/>
      <c r="C2" s="3"/>
      <c r="D2" s="3"/>
      <c r="E2" s="3"/>
      <c r="F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GREGOIRE Charles</dc:creator>
  <cp:lastModifiedBy>GREGOIRE Charles</cp:lastModifiedBy>
  <dcterms:created xsi:type="dcterms:W3CDTF">2025-08-20T08:01:39Z</dcterms:created>
  <dcterms:modified xsi:type="dcterms:W3CDTF">2025-08-20T13:49:34Z</dcterms:modified>
</cp:coreProperties>
</file>